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دخلات" sheetId="2" state="visible" r:id="rId2"/>
    <sheet xmlns:r="http://schemas.openxmlformats.org/officeDocument/2006/relationships" name="تكلفة AI" sheetId="3" state="visible" r:id="rId3"/>
    <sheet xmlns:r="http://schemas.openxmlformats.org/officeDocument/2006/relationships" name="التكلفة الثابتة" sheetId="4" state="visible" r:id="rId4"/>
    <sheet xmlns:r="http://schemas.openxmlformats.org/officeDocument/2006/relationships" name="اقتصاديات الباقة" sheetId="5" state="visible" r:id="rId5"/>
    <sheet xmlns:r="http://schemas.openxmlformats.org/officeDocument/2006/relationships" name="لكل Prospect" sheetId="6" state="visible" r:id="rId6"/>
    <sheet xmlns:r="http://schemas.openxmlformats.org/officeDocument/2006/relationships" name="الهامش المستهد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%;(0.0%);&quot;-&quot;"/>
    <numFmt numFmtId="166" formatCode="#,##0;(#,##0);&quot;-&quot;"/>
    <numFmt numFmtId="167" formatCode="$0.00000;($0.0000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0" fontId="3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0" fontId="3" fillId="2" borderId="0" pivotButton="0" quotePrefix="0" xfId="0"/>
    <xf numFmtId="0" fontId="7" fillId="2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6" fontId="5" fillId="0" borderId="0" pivotButton="0" quotePrefix="0" xfId="0"/>
    <xf numFmtId="167" fontId="5" fillId="3" borderId="0" pivotButton="0" quotePrefix="0" xfId="0"/>
    <xf numFmtId="167" fontId="5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165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دراسة تسعير يولياس — الملخص (استخدام عادي)</t>
        </is>
      </c>
      <c r="B1" s="2" t="n"/>
      <c r="C1" s="2" t="n"/>
      <c r="D1" s="2" t="n"/>
      <c r="E1" s="2" t="n"/>
      <c r="F1" s="2" t="n"/>
    </row>
    <row r="2">
      <c r="A2" s="3" t="inlineStr">
        <is>
          <t>كل الأرقام بتتحسب من شيت «المدخلات». الخانات الصفرا هناك هي قراراتك والأرقام اللي محتاجة تأكيد.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/>
      <c r="B4" s="4" t="inlineStr">
        <is>
          <t>Pro — قبل المزود</t>
        </is>
      </c>
      <c r="C4" s="4" t="inlineStr">
        <is>
          <t>Pro — مع المزود</t>
        </is>
      </c>
      <c r="D4" s="4" t="inlineStr">
        <is>
          <t>Growth — قبل المزود</t>
        </is>
      </c>
      <c r="E4" s="4" t="inlineStr">
        <is>
          <t>Growth — مع المزود</t>
        </is>
      </c>
      <c r="F4" s="2" t="n"/>
    </row>
    <row r="5">
      <c r="A5" s="5" t="inlineStr">
        <is>
          <t>السعر</t>
        </is>
      </c>
      <c r="B5" s="6">
        <f>'اقتصاديات الباقة'!B5</f>
        <v/>
      </c>
      <c r="C5" s="6">
        <f>'اقتصاديات الباقة'!C5</f>
        <v/>
      </c>
      <c r="D5" s="6">
        <f>'اقتصاديات الباقة'!D5</f>
        <v/>
      </c>
      <c r="E5" s="6">
        <f>'اقتصاديات الباقة'!E5</f>
        <v/>
      </c>
      <c r="F5" s="2" t="n"/>
    </row>
    <row r="6">
      <c r="A6" s="5" t="inlineStr">
        <is>
          <t>العملاء المحتملين في الشهر</t>
        </is>
      </c>
      <c r="B6" s="7">
        <f>'اقتصاديات الباقة'!B6</f>
        <v/>
      </c>
      <c r="C6" s="7">
        <f>'اقتصاديات الباقة'!C6</f>
        <v/>
      </c>
      <c r="D6" s="7">
        <f>'اقتصاديات الباقة'!D6</f>
        <v/>
      </c>
      <c r="E6" s="7">
        <f>'اقتصاديات الباقة'!E6</f>
        <v/>
      </c>
      <c r="F6" s="2" t="n"/>
    </row>
    <row r="7">
      <c r="A7" s="5" t="inlineStr">
        <is>
          <t>صنّاع القرار في الشهر</t>
        </is>
      </c>
      <c r="B7" s="7">
        <f>'المدخلات'!$B$37</f>
        <v/>
      </c>
      <c r="C7" s="7">
        <f>'المدخلات'!$B$37</f>
        <v/>
      </c>
      <c r="D7" s="7">
        <f>'المدخلات'!$B$38</f>
        <v/>
      </c>
      <c r="E7" s="7">
        <f>'المدخلات'!$B$38</f>
        <v/>
      </c>
      <c r="F7" s="2" t="n"/>
    </row>
    <row r="8">
      <c r="A8" s="5" t="inlineStr">
        <is>
          <t>قراءة الموقع (Enrichment)</t>
        </is>
      </c>
      <c r="B8" s="7">
        <f>'اقتصاديات الباقة'!B6</f>
        <v/>
      </c>
      <c r="C8" s="7">
        <f>'اقتصاديات الباقة'!C6</f>
        <v/>
      </c>
      <c r="D8" s="7">
        <f>'اقتصاديات الباقة'!D6</f>
        <v/>
      </c>
      <c r="E8" s="7">
        <f>'اقتصاديات الباقة'!E6</f>
        <v/>
      </c>
      <c r="F8" s="2" t="n"/>
    </row>
    <row r="9">
      <c r="A9" s="5" t="inlineStr">
        <is>
          <t>رسائل Yolias AI في الشهر (عادي)</t>
        </is>
      </c>
      <c r="B9" s="7">
        <f>'تكلفة AI'!C10</f>
        <v/>
      </c>
      <c r="C9" s="7">
        <f>'تكلفة AI'!C10</f>
        <v/>
      </c>
      <c r="D9" s="7">
        <f>'تكلفة AI'!C12</f>
        <v/>
      </c>
      <c r="E9" s="7">
        <f>'تكلفة AI'!C12</f>
        <v/>
      </c>
      <c r="F9" s="2" t="n"/>
    </row>
    <row r="10">
      <c r="A10" s="5" t="inlineStr">
        <is>
          <t>رسائل تواصل مكتوبة في الشهر (عادي)</t>
        </is>
      </c>
      <c r="B10" s="7">
        <f>'تكلفة AI'!D10</f>
        <v/>
      </c>
      <c r="C10" s="7">
        <f>'تكلفة AI'!D10</f>
        <v/>
      </c>
      <c r="D10" s="7">
        <f>'تكلفة AI'!D12</f>
        <v/>
      </c>
      <c r="E10" s="7">
        <f>'تكلفة AI'!D12</f>
        <v/>
      </c>
      <c r="F10" s="2" t="n"/>
    </row>
    <row r="11">
      <c r="A11" s="5" t="inlineStr">
        <is>
          <t>إجمالي التكلفة — عادي</t>
        </is>
      </c>
      <c r="B11" s="6">
        <f>'اقتصاديات الباقة'!B13</f>
        <v/>
      </c>
      <c r="C11" s="6">
        <f>'اقتصاديات الباقة'!C13</f>
        <v/>
      </c>
      <c r="D11" s="6">
        <f>'اقتصاديات الباقة'!D13</f>
        <v/>
      </c>
      <c r="E11" s="6">
        <f>'اقتصاديات الباقة'!E13</f>
        <v/>
      </c>
      <c r="F11" s="2" t="n"/>
    </row>
    <row r="12">
      <c r="A12" s="8" t="inlineStr">
        <is>
          <t>إجمالي الربح — عادي</t>
        </is>
      </c>
      <c r="B12" s="6">
        <f>'اقتصاديات الباقة'!B14</f>
        <v/>
      </c>
      <c r="C12" s="6">
        <f>'اقتصاديات الباقة'!C14</f>
        <v/>
      </c>
      <c r="D12" s="6">
        <f>'اقتصاديات الباقة'!D14</f>
        <v/>
      </c>
      <c r="E12" s="6">
        <f>'اقتصاديات الباقة'!E14</f>
        <v/>
      </c>
      <c r="F12" s="2" t="n"/>
    </row>
    <row r="13">
      <c r="A13" s="8" t="inlineStr">
        <is>
          <t>الهامش — عادي</t>
        </is>
      </c>
      <c r="B13" s="9">
        <f>'اقتصاديات الباقة'!B15</f>
        <v/>
      </c>
      <c r="C13" s="9">
        <f>'اقتصاديات الباقة'!C15</f>
        <v/>
      </c>
      <c r="D13" s="9">
        <f>'اقتصاديات الباقة'!D15</f>
        <v/>
      </c>
      <c r="E13" s="9">
        <f>'اقتصاديات الباقة'!E15</f>
        <v/>
      </c>
      <c r="F13" s="2" t="n"/>
    </row>
    <row r="14">
      <c r="A14" s="5" t="inlineStr">
        <is>
          <t>إجمالي التكلفة — أقصى استخدام</t>
        </is>
      </c>
      <c r="B14" s="6">
        <f>'اقتصاديات الباقة'!B28</f>
        <v/>
      </c>
      <c r="C14" s="6">
        <f>'اقتصاديات الباقة'!C28</f>
        <v/>
      </c>
      <c r="D14" s="6">
        <f>'اقتصاديات الباقة'!D28</f>
        <v/>
      </c>
      <c r="E14" s="6">
        <f>'اقتصاديات الباقة'!E28</f>
        <v/>
      </c>
      <c r="F14" s="2" t="n"/>
    </row>
    <row r="15">
      <c r="A15" s="8" t="inlineStr">
        <is>
          <t>الهامش — أقصى استخدام</t>
        </is>
      </c>
      <c r="B15" s="9">
        <f>'اقتصاديات الباقة'!B30</f>
        <v/>
      </c>
      <c r="C15" s="9">
        <f>'اقتصاديات الباقة'!C30</f>
        <v/>
      </c>
      <c r="D15" s="9">
        <f>'اقتصاديات الباقة'!D30</f>
        <v/>
      </c>
      <c r="E15" s="9">
        <f>'اقتصاديات الباقة'!E30</f>
        <v/>
      </c>
      <c r="F15" s="2" t="n"/>
    </row>
    <row r="16">
      <c r="A16" s="5" t="inlineStr">
        <is>
          <t>إجمالي التكلفة — أسوأ حالة (2027)</t>
        </is>
      </c>
      <c r="B16" s="6">
        <f>'اقتصاديات الباقة'!B43</f>
        <v/>
      </c>
      <c r="C16" s="6">
        <f>'اقتصاديات الباقة'!C43</f>
        <v/>
      </c>
      <c r="D16" s="6">
        <f>'اقتصاديات الباقة'!D43</f>
        <v/>
      </c>
      <c r="E16" s="6">
        <f>'اقتصاديات الباقة'!E43</f>
        <v/>
      </c>
      <c r="F16" s="2" t="n"/>
    </row>
    <row r="17">
      <c r="A17" s="8" t="inlineStr">
        <is>
          <t>الهامش — أسوأ حالة (2027)</t>
        </is>
      </c>
      <c r="B17" s="9">
        <f>'اقتصاديات الباقة'!B45</f>
        <v/>
      </c>
      <c r="C17" s="9">
        <f>'اقتصاديات الباقة'!C45</f>
        <v/>
      </c>
      <c r="D17" s="9">
        <f>'اقتصاديات الباقة'!D45</f>
        <v/>
      </c>
      <c r="E17" s="9">
        <f>'اقتصاديات الباقة'!E45</f>
        <v/>
      </c>
      <c r="F17" s="2" t="n"/>
    </row>
    <row r="18">
      <c r="A18" s="5" t="inlineStr">
        <is>
          <t>سعر بيع الـ Prospect</t>
        </is>
      </c>
      <c r="B18" s="10">
        <f>'لكل Prospect'!B4</f>
        <v/>
      </c>
      <c r="C18" s="10">
        <f>'لكل Prospect'!C4</f>
        <v/>
      </c>
      <c r="D18" s="10">
        <f>'لكل Prospect'!D4</f>
        <v/>
      </c>
      <c r="E18" s="10">
        <f>'لكل Prospect'!E4</f>
        <v/>
      </c>
      <c r="F18" s="2" t="n"/>
    </row>
    <row r="19">
      <c r="A19" s="5" t="inlineStr">
        <is>
          <t>تكلفة الـ Prospect</t>
        </is>
      </c>
      <c r="B19" s="10">
        <f>'لكل Prospect'!B10</f>
        <v/>
      </c>
      <c r="C19" s="10">
        <f>'لكل Prospect'!C10</f>
        <v/>
      </c>
      <c r="D19" s="10">
        <f>'لكل Prospect'!D10</f>
        <v/>
      </c>
      <c r="E19" s="10">
        <f>'لكل Prospect'!E10</f>
        <v/>
      </c>
      <c r="F19" s="2" t="n"/>
    </row>
    <row r="20">
      <c r="A20" s="5" t="inlineStr">
        <is>
          <t>ربحك في الـ Prospect</t>
        </is>
      </c>
      <c r="B20" s="10">
        <f>'لكل Prospect'!B11</f>
        <v/>
      </c>
      <c r="C20" s="10">
        <f>'لكل Prospect'!C11</f>
        <v/>
      </c>
      <c r="D20" s="10">
        <f>'لكل Prospect'!D11</f>
        <v/>
      </c>
      <c r="E20" s="10">
        <f>'لكل Prospect'!E11</f>
        <v/>
      </c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8" t="inlineStr">
        <is>
          <t>التكلفة الثابتة الشهرية</t>
        </is>
      </c>
      <c r="B22" s="2" t="n"/>
      <c r="C22" s="2" t="n"/>
      <c r="D22" s="2" t="n"/>
      <c r="E22" s="2" t="n"/>
      <c r="F22" s="2" t="n"/>
    </row>
    <row r="23">
      <c r="A23" s="4" t="inlineStr"/>
      <c r="B23" s="4" t="inlineStr">
        <is>
          <t>10</t>
        </is>
      </c>
      <c r="C23" s="4" t="inlineStr">
        <is>
          <t>50</t>
        </is>
      </c>
      <c r="D23" s="4" t="inlineStr">
        <is>
          <t>100</t>
        </is>
      </c>
      <c r="E23" s="4" t="inlineStr">
        <is>
          <t>500</t>
        </is>
      </c>
      <c r="F23" s="4" t="inlineStr">
        <is>
          <t>1,000</t>
        </is>
      </c>
    </row>
    <row r="24">
      <c r="A24" s="5" t="inlineStr">
        <is>
          <t>التكلفة الثابتة</t>
        </is>
      </c>
      <c r="B24" s="6">
        <f>'التكلفة الثابتة'!B14</f>
        <v/>
      </c>
      <c r="C24" s="6">
        <f>'التكلفة الثابتة'!C14</f>
        <v/>
      </c>
      <c r="D24" s="6">
        <f>'التكلفة الثابتة'!D14</f>
        <v/>
      </c>
      <c r="E24" s="6">
        <f>'التكلفة الثابتة'!E14</f>
        <v/>
      </c>
      <c r="F24" s="6">
        <f>'التكلفة الثابتة'!F14</f>
        <v/>
      </c>
    </row>
    <row r="25">
      <c r="A25" s="5" t="inlineStr">
        <is>
          <t>الإيرادات</t>
        </is>
      </c>
      <c r="B25" s="6">
        <f>'التكلفة الثابتة'!B26</f>
        <v/>
      </c>
      <c r="C25" s="6">
        <f>'التكلفة الثابتة'!C26</f>
        <v/>
      </c>
      <c r="D25" s="6">
        <f>'التكلفة الثابتة'!D26</f>
        <v/>
      </c>
      <c r="E25" s="6">
        <f>'التكلفة الثابتة'!E26</f>
        <v/>
      </c>
      <c r="F25" s="6">
        <f>'التكلفة الثابتة'!F26</f>
        <v/>
      </c>
    </row>
    <row r="26">
      <c r="A26" s="5" t="inlineStr">
        <is>
          <t>الربح — قبل المزود</t>
        </is>
      </c>
      <c r="B26" s="6">
        <f>'التكلفة الثابتة'!B32</f>
        <v/>
      </c>
      <c r="C26" s="6">
        <f>'التكلفة الثابتة'!C32</f>
        <v/>
      </c>
      <c r="D26" s="6">
        <f>'التكلفة الثابتة'!D32</f>
        <v/>
      </c>
      <c r="E26" s="6">
        <f>'التكلفة الثابتة'!E32</f>
        <v/>
      </c>
      <c r="F26" s="6">
        <f>'التكلفة الثابتة'!F32</f>
        <v/>
      </c>
    </row>
    <row r="27">
      <c r="A27" s="5" t="inlineStr">
        <is>
          <t>الهامش — قبل المزود</t>
        </is>
      </c>
      <c r="B27" s="9">
        <f>'التكلفة الثابتة'!B33</f>
        <v/>
      </c>
      <c r="C27" s="9">
        <f>'التكلفة الثابتة'!C33</f>
        <v/>
      </c>
      <c r="D27" s="9">
        <f>'التكلفة الثابتة'!D33</f>
        <v/>
      </c>
      <c r="E27" s="9">
        <f>'التكلفة الثابتة'!E33</f>
        <v/>
      </c>
      <c r="F27" s="9">
        <f>'التكلفة الثابتة'!F33</f>
        <v/>
      </c>
    </row>
    <row r="28">
      <c r="A28" s="5" t="inlineStr">
        <is>
          <t>الربح — مع المزود</t>
        </is>
      </c>
      <c r="B28" s="6">
        <f>'التكلفة الثابتة'!B34</f>
        <v/>
      </c>
      <c r="C28" s="6">
        <f>'التكلفة الثابتة'!C34</f>
        <v/>
      </c>
      <c r="D28" s="6">
        <f>'التكلفة الثابتة'!D34</f>
        <v/>
      </c>
      <c r="E28" s="6">
        <f>'التكلفة الثابتة'!E34</f>
        <v/>
      </c>
      <c r="F28" s="6">
        <f>'التكلفة الثابتة'!F34</f>
        <v/>
      </c>
    </row>
    <row r="29">
      <c r="A29" s="5" t="inlineStr">
        <is>
          <t>الهامش — مع المزود</t>
        </is>
      </c>
      <c r="B29" s="9">
        <f>'التكلفة الثابتة'!B35</f>
        <v/>
      </c>
      <c r="C29" s="9">
        <f>'التكلفة الثابتة'!C35</f>
        <v/>
      </c>
      <c r="D29" s="9">
        <f>'التكلفة الثابتة'!D35</f>
        <v/>
      </c>
      <c r="E29" s="9">
        <f>'التكلفة الثابتة'!E35</f>
        <v/>
      </c>
      <c r="F29" s="9">
        <f>'التكلفة الثابتة'!F35</f>
        <v/>
      </c>
    </row>
    <row r="30">
      <c r="A30" s="2" t="n"/>
      <c r="B30" s="2" t="n"/>
      <c r="C30" s="2" t="n"/>
      <c r="D30" s="2" t="n"/>
      <c r="E30" s="2" t="n"/>
      <c r="F30" s="2" t="n"/>
    </row>
    <row r="31">
      <c r="A31" s="8" t="inlineStr">
        <is>
          <t>ملاحظات مهمة:</t>
        </is>
      </c>
      <c r="B31" s="2" t="n"/>
      <c r="C31" s="2" t="n"/>
      <c r="D31" s="2" t="n"/>
      <c r="E31" s="2" t="n"/>
      <c r="F31" s="2" t="n"/>
    </row>
    <row r="32">
      <c r="A32" s="5" t="inlineStr">
        <is>
          <t>1. مفيش مزود بيانات مربوط في الكود دلوقتي، فالبحث في الإنتاج بيرجّع صفر نتائج. عمود «قبل المزود» بيوضح تكلفة التشغيل، مش إيراد ممكن يتحقق النهارده.</t>
        </is>
      </c>
      <c r="B32" s="2" t="n"/>
      <c r="C32" s="2" t="n"/>
      <c r="D32" s="2" t="n"/>
      <c r="E32" s="2" t="n"/>
      <c r="F32" s="2" t="n"/>
    </row>
    <row r="33">
      <c r="A33" s="5" t="inlineStr">
        <is>
          <t>2. Google Places اترفض لأن شروطه بتسمح بتخزين place_id بس، ويولياس بيحفظ النتائج وبيصدّرها CSV.</t>
        </is>
      </c>
      <c r="B33" s="2" t="n"/>
      <c r="C33" s="2" t="n"/>
      <c r="D33" s="2" t="n"/>
      <c r="E33" s="2" t="n"/>
      <c r="F33" s="2" t="n"/>
    </row>
    <row r="34">
      <c r="A34" s="5" t="inlineStr">
        <is>
          <t>3. «مع المزود» محسوب بسعر 0.01$ للـ Prospect كمثال بس. حط سعر المزود الحقيقي في المدخلات.</t>
        </is>
      </c>
      <c r="B34" s="2" t="n"/>
      <c r="C34" s="2" t="n"/>
      <c r="D34" s="2" t="n"/>
      <c r="E34" s="2" t="n"/>
      <c r="F34" s="2" t="n"/>
    </row>
    <row r="35">
      <c r="A35" s="5" t="inlineStr">
        <is>
          <t>4. Gemini سعره بيتضاعف من 2027-01-01 (اختيار الأسعار في المدخلات).</t>
        </is>
      </c>
      <c r="B35" s="2" t="n"/>
      <c r="C35" s="2" t="n"/>
      <c r="D35" s="2" t="n"/>
      <c r="E35" s="2" t="n"/>
      <c r="F35" s="2" t="n"/>
    </row>
    <row r="36">
      <c r="A36" s="5" t="inlineStr">
        <is>
          <t>5. Resend Free بيوقف عند 100 إيميل في اليوم، وتسجيل الدخول بيعتمد عليه. شوف «التكلفة الثابتة» ← Resend.</t>
        </is>
      </c>
      <c r="B36" s="2" t="n"/>
      <c r="C36" s="2" t="n"/>
      <c r="D36" s="2" t="n"/>
      <c r="E36" s="2" t="n"/>
      <c r="F36" s="2" t="n"/>
    </row>
    <row r="37">
      <c r="A37" s="5" t="inlineStr">
        <is>
          <t>6. توكنز AI متوسطات من التجارب المحلية. بعد الإطلاق نستبدلها بالأرقام الحقيقية من intel.llm_calls.</t>
        </is>
      </c>
      <c r="B37" s="2" t="n"/>
      <c r="C37" s="2" t="n"/>
      <c r="D37" s="2" t="n"/>
      <c r="E37" s="2" t="n"/>
      <c r="F3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المدخلات والافتراضات — كل رقم في الدراسة جاي من هنا</t>
        </is>
      </c>
      <c r="B1" s="2" t="n"/>
      <c r="C1" s="2" t="n"/>
      <c r="D1" s="2" t="n"/>
    </row>
    <row r="2">
      <c r="A2" s="3" t="inlineStr">
        <is>
          <t>الأزرق = رقم مُدخل. الأصفر = قرارك أو رقم محتاج تأكيد أو سعر المزود. غيّر الخانات دي بس، وباقي الشيت هيتحسب لوحده.</t>
        </is>
      </c>
      <c r="B2" s="2" t="n"/>
      <c r="C2" s="2" t="n"/>
      <c r="D2" s="2" t="n"/>
    </row>
    <row r="3">
      <c r="A3" s="4" t="inlineStr">
        <is>
          <t>البند</t>
        </is>
      </c>
      <c r="B3" s="4" t="inlineStr">
        <is>
          <t>القيمة</t>
        </is>
      </c>
      <c r="C3" s="4" t="inlineStr">
        <is>
          <t>الوحدة</t>
        </is>
      </c>
      <c r="D3" s="4" t="inlineStr">
        <is>
          <t>المصدر / ملاحظة</t>
        </is>
      </c>
    </row>
    <row r="4">
      <c r="A4" s="11" t="inlineStr">
        <is>
          <t>الباقات</t>
        </is>
      </c>
      <c r="B4" s="12" t="n"/>
      <c r="C4" s="12" t="n"/>
      <c r="D4" s="12" t="n"/>
    </row>
    <row r="5">
      <c r="A5" s="5" t="inlineStr">
        <is>
          <t>سعر Pro</t>
        </is>
      </c>
      <c r="B5" s="13" t="n">
        <v>50</v>
      </c>
      <c r="C5" s="5" t="inlineStr">
        <is>
          <t>$ / شهر</t>
        </is>
      </c>
      <c r="D5" s="5" t="inlineStr">
        <is>
          <t>منك (قرار مبدئي)</t>
        </is>
      </c>
    </row>
    <row r="6">
      <c r="A6" s="5" t="inlineStr">
        <is>
          <t>سعر Growth</t>
        </is>
      </c>
      <c r="B6" s="13" t="n">
        <v>100</v>
      </c>
      <c r="C6" s="5" t="inlineStr">
        <is>
          <t>$ / شهر</t>
        </is>
      </c>
      <c r="D6" s="5" t="inlineStr">
        <is>
          <t>منك (قرار مبدئي)</t>
        </is>
      </c>
    </row>
    <row r="7">
      <c r="A7" s="11" t="inlineStr">
        <is>
          <t>الدفع — Paymob</t>
        </is>
      </c>
      <c r="B7" s="12" t="n"/>
      <c r="C7" s="12" t="n"/>
      <c r="D7" s="12" t="n"/>
    </row>
    <row r="8">
      <c r="A8" s="5" t="inlineStr">
        <is>
          <t>عمولة Paymob</t>
        </is>
      </c>
      <c r="B8" s="14" t="n">
        <v>0.0298</v>
      </c>
      <c r="C8" s="5" t="inlineStr">
        <is>
          <t>% من المبلغ</t>
        </is>
      </c>
      <c r="D8" s="5" t="inlineStr">
        <is>
          <t>منك 2026-10-07</t>
        </is>
      </c>
    </row>
    <row r="9">
      <c r="A9" s="5" t="inlineStr">
        <is>
          <t>رسوم ثابتة لكل عملية</t>
        </is>
      </c>
      <c r="B9" s="15" t="n">
        <v>0</v>
      </c>
      <c r="C9" s="5" t="inlineStr">
        <is>
          <t>$ / عملية</t>
        </is>
      </c>
      <c r="D9" s="5" t="inlineStr">
        <is>
          <t>محتاج تأكيد من عقد Paymob (لو مفيش تفضل 0)</t>
        </is>
      </c>
    </row>
    <row r="10">
      <c r="A10" s="5" t="inlineStr">
        <is>
          <t>ضريبة على العمولة</t>
        </is>
      </c>
      <c r="B10" s="16" t="n">
        <v>0</v>
      </c>
      <c r="C10" s="5" t="inlineStr">
        <is>
          <t>% من العمولة</t>
        </is>
      </c>
      <c r="D10" s="5" t="inlineStr">
        <is>
          <t>محتاج تأكيد: لو فيه 14% ضريبة قيمة مضافة على العمولة اكتب 14%</t>
        </is>
      </c>
    </row>
    <row r="11">
      <c r="A11" s="11" t="inlineStr">
        <is>
          <t>Gemini 3.8 Flash — الموديل الوحيد المستخدم في الإنتاج</t>
        </is>
      </c>
      <c r="B11" s="12" t="n"/>
      <c r="C11" s="12" t="n"/>
      <c r="D11" s="12" t="n"/>
    </row>
    <row r="12">
      <c r="A12" s="5" t="inlineStr">
        <is>
          <t>سعر Input (السعر الحالي)</t>
        </is>
      </c>
      <c r="B12" s="13" t="n">
        <v>0.75</v>
      </c>
      <c r="C12" s="5" t="inlineStr">
        <is>
          <t>$ / مليون توكن</t>
        </is>
      </c>
      <c r="D12" s="5" t="inlineStr">
        <is>
          <t>سعر Google المعلن لحد 2026-12-31 (بحث ويب، راجعه على ai.google.dev/pricing)</t>
        </is>
      </c>
    </row>
    <row r="13">
      <c r="A13" s="5" t="inlineStr">
        <is>
          <t>سعر Output (السعر الحالي)</t>
        </is>
      </c>
      <c r="B13" s="13" t="n">
        <v>3.75</v>
      </c>
      <c r="C13" s="5" t="inlineStr">
        <is>
          <t>$ / مليون توكن</t>
        </is>
      </c>
      <c r="D13" s="5" t="inlineStr">
        <is>
          <t>نفس المصدر</t>
        </is>
      </c>
    </row>
    <row r="14">
      <c r="A14" s="5" t="inlineStr">
        <is>
          <t>سعر Input من 2027-01-01</t>
        </is>
      </c>
      <c r="B14" s="13" t="n">
        <v>1.5</v>
      </c>
      <c r="C14" s="5" t="inlineStr">
        <is>
          <t>$ / مليون توكن</t>
        </is>
      </c>
      <c r="D14" s="5" t="inlineStr">
        <is>
          <t>نفس المصدر (السعر العادي = ضعف السعر الحالي)</t>
        </is>
      </c>
    </row>
    <row r="15">
      <c r="A15" s="5" t="inlineStr">
        <is>
          <t>سعر Output من 2027-01-01</t>
        </is>
      </c>
      <c r="B15" s="13" t="n">
        <v>7.5</v>
      </c>
      <c r="C15" s="5" t="inlineStr">
        <is>
          <t>$ / مليون توكن</t>
        </is>
      </c>
      <c r="D15" s="5" t="inlineStr">
        <is>
          <t>نفس المصدر</t>
        </is>
      </c>
    </row>
    <row r="16">
      <c r="A16" s="5" t="inlineStr">
        <is>
          <t>الأسعار المستخدمة في الحساب (1 = الحالية، 2 = 2027)</t>
        </is>
      </c>
      <c r="B16" s="17" t="n">
        <v>1</v>
      </c>
      <c r="C16" s="5" t="inlineStr">
        <is>
          <t>اختيار</t>
        </is>
      </c>
      <c r="D16" s="5" t="inlineStr">
        <is>
          <t>غيّرها لـ 2 عشان تشوف الهامش بعد زيادة سعر Gemini</t>
        </is>
      </c>
    </row>
    <row r="17">
      <c r="A17" s="11" t="inlineStr">
        <is>
          <t>توكنز كل عملية (متوسط من سجل الاستدعاءات intel.llm_calls على الداتابيز المحلية)</t>
        </is>
      </c>
      <c r="B17" s="12" t="n"/>
      <c r="C17" s="12" t="n"/>
      <c r="D17" s="12" t="n"/>
    </row>
    <row r="18">
      <c r="A18" s="5" t="inlineStr">
        <is>
          <t>تحليل طلب البحث — Input</t>
        </is>
      </c>
      <c r="B18" s="18" t="n">
        <v>393</v>
      </c>
      <c r="C18" s="5" t="inlineStr">
        <is>
          <t>توكن</t>
        </is>
      </c>
      <c r="D18" s="5" t="inlineStr">
        <is>
          <t>متوسط 4 استدعاءات (icp.parse)</t>
        </is>
      </c>
    </row>
    <row r="19">
      <c r="A19" s="5" t="inlineStr">
        <is>
          <t>تحليل طلب البحث — Output</t>
        </is>
      </c>
      <c r="B19" s="18" t="n">
        <v>791</v>
      </c>
      <c r="C19" s="5" t="inlineStr">
        <is>
          <t>توكن</t>
        </is>
      </c>
      <c r="D19" s="5" t="inlineStr">
        <is>
          <t>نفس المصدر</t>
        </is>
      </c>
    </row>
    <row r="20">
      <c r="A20" s="5" t="inlineStr">
        <is>
          <t>رسالة في Yolias AI — Input</t>
        </is>
      </c>
      <c r="B20" s="18" t="n">
        <v>5984</v>
      </c>
      <c r="C20" s="5" t="inlineStr">
        <is>
          <t>توكن</t>
        </is>
      </c>
      <c r="D20" s="5" t="inlineStr">
        <is>
          <t>متوسط 30 استدعاء (agent)</t>
        </is>
      </c>
    </row>
    <row r="21">
      <c r="A21" s="5" t="inlineStr">
        <is>
          <t>رسالة في Yolias AI — Output</t>
        </is>
      </c>
      <c r="B21" s="18" t="n">
        <v>403</v>
      </c>
      <c r="C21" s="5" t="inlineStr">
        <is>
          <t>توكن</t>
        </is>
      </c>
      <c r="D21" s="5" t="inlineStr">
        <is>
          <t>نفس المصدر</t>
        </is>
      </c>
    </row>
    <row r="22">
      <c r="A22" s="5" t="inlineStr">
        <is>
          <t>كتابة إيميل / رسالة تواصل — Input</t>
        </is>
      </c>
      <c r="B22" s="18" t="n">
        <v>382</v>
      </c>
      <c r="C22" s="5" t="inlineStr">
        <is>
          <t>توكن</t>
        </is>
      </c>
      <c r="D22" s="5" t="inlineStr">
        <is>
          <t>متوسط 43 استدعاء (write)</t>
        </is>
      </c>
    </row>
    <row r="23">
      <c r="A23" s="5" t="inlineStr">
        <is>
          <t>كتابة إيميل / رسالة تواصل — Output</t>
        </is>
      </c>
      <c r="B23" s="18" t="n">
        <v>528</v>
      </c>
      <c r="C23" s="5" t="inlineStr">
        <is>
          <t>توكن</t>
        </is>
      </c>
      <c r="D23" s="5" t="inlineStr">
        <is>
          <t>نفس المصدر</t>
        </is>
      </c>
    </row>
    <row r="24">
      <c r="A24" s="11" t="inlineStr">
        <is>
          <t>استخدام العميل في الشهر (افتراضات — مش أسعار)</t>
        </is>
      </c>
      <c r="B24" s="12" t="n"/>
      <c r="C24" s="12" t="n"/>
      <c r="D24" s="12" t="n"/>
    </row>
    <row r="25">
      <c r="A25" s="5" t="inlineStr">
        <is>
          <t>عدد عمليات البحث — Pro عادي</t>
        </is>
      </c>
      <c r="B25" s="17" t="n">
        <v>20</v>
      </c>
      <c r="C25" s="5" t="inlineStr">
        <is>
          <t>بحث</t>
        </is>
      </c>
      <c r="D25" s="5" t="inlineStr">
        <is>
          <t>افتراض</t>
        </is>
      </c>
    </row>
    <row r="26">
      <c r="A26" s="5" t="inlineStr">
        <is>
          <t>رسائل Yolias AI — Pro عادي</t>
        </is>
      </c>
      <c r="B26" s="17" t="n">
        <v>100</v>
      </c>
      <c r="C26" s="5" t="inlineStr">
        <is>
          <t>رسالة</t>
        </is>
      </c>
      <c r="D26" s="5" t="inlineStr">
        <is>
          <t>افتراض</t>
        </is>
      </c>
    </row>
    <row r="27">
      <c r="A27" s="5" t="inlineStr">
        <is>
          <t>إيميلات ورسايل تواصل مكتوبة — Pro عادي</t>
        </is>
      </c>
      <c r="B27" s="17" t="n">
        <v>200</v>
      </c>
      <c r="C27" s="5" t="inlineStr">
        <is>
          <t>رسالة</t>
        </is>
      </c>
      <c r="D27" s="5" t="inlineStr">
        <is>
          <t>افتراض</t>
        </is>
      </c>
    </row>
    <row r="28">
      <c r="A28" s="5" t="inlineStr">
        <is>
          <t>استخدام Growth = استخدام Pro ×</t>
        </is>
      </c>
      <c r="B28" s="17" t="n">
        <v>2</v>
      </c>
      <c r="C28" s="5" t="inlineStr">
        <is>
          <t>ضعف</t>
        </is>
      </c>
      <c r="D28" s="5" t="inlineStr">
        <is>
          <t>افتراض</t>
        </is>
      </c>
    </row>
    <row r="29">
      <c r="A29" s="5" t="inlineStr">
        <is>
          <t>أقصى استخدام = الاستخدام العادي ×</t>
        </is>
      </c>
      <c r="B29" s="17" t="n">
        <v>5</v>
      </c>
      <c r="C29" s="5" t="inlineStr">
        <is>
          <t>ضعف</t>
        </is>
      </c>
      <c r="D29" s="5" t="inlineStr">
        <is>
          <t>افتراض لأسوأ حالة</t>
        </is>
      </c>
    </row>
    <row r="30">
      <c r="A30" s="11" t="inlineStr">
        <is>
          <t>العملاء المحتملين والبيانات</t>
        </is>
      </c>
      <c r="B30" s="12" t="n"/>
      <c r="C30" s="12" t="n"/>
      <c r="D30" s="12" t="n"/>
    </row>
    <row r="31">
      <c r="A31" s="5" t="inlineStr">
        <is>
          <t>عدد العملاء المحتملين — Pro</t>
        </is>
      </c>
      <c r="B31" s="17" t="n">
        <v>1000</v>
      </c>
      <c r="C31" s="5" t="inlineStr">
        <is>
          <t>Prospect / شهر</t>
        </is>
      </c>
      <c r="D31" s="5" t="inlineStr">
        <is>
          <t>قرارك (الرقم ده مثال من محادثتك، غيّره)</t>
        </is>
      </c>
    </row>
    <row r="32">
      <c r="A32" s="5" t="inlineStr">
        <is>
          <t>عدد العملاء المحتملين — Growth</t>
        </is>
      </c>
      <c r="B32" s="17" t="n">
        <v>2500</v>
      </c>
      <c r="C32" s="5" t="inlineStr">
        <is>
          <t>Prospect / شهر</t>
        </is>
      </c>
      <c r="D32" s="5" t="inlineStr">
        <is>
          <t>قرارك (الرقم ده مثال من محادثتك، غيّره)</t>
        </is>
      </c>
    </row>
    <row r="33">
      <c r="A33" s="5" t="inlineStr">
        <is>
          <t>تكلفة المزود لكل Prospect (سيناريو «مع المزود»)</t>
        </is>
      </c>
      <c r="B33" s="19" t="n">
        <v>0.01</v>
      </c>
      <c r="C33" s="5" t="inlineStr">
        <is>
          <t>$ / Prospect</t>
        </is>
      </c>
      <c r="D33" s="5" t="inlineStr">
        <is>
          <t>مثال بس، مش سعر حقيقي. حط سعر المزود اللي هتختاره. سيناريو «قبل المزود» دايماً = 0</t>
        </is>
      </c>
    </row>
    <row r="34">
      <c r="A34" s="5" t="inlineStr">
        <is>
          <t>قراءة الموقع (إيميل عام، تليفون، سوشيال)</t>
        </is>
      </c>
      <c r="B34" s="20" t="n">
        <v>0</v>
      </c>
      <c r="C34" s="5" t="inlineStr">
        <is>
          <t>$ / Prospect</t>
        </is>
      </c>
      <c r="D34" s="5" t="inlineStr">
        <is>
          <t>0: طلب HTTP جوه حصة Cloudflare Workers (lib/intel/socials.ts)</t>
        </is>
      </c>
    </row>
    <row r="35">
      <c r="A35" s="5" t="inlineStr">
        <is>
          <t>التحقق من الإيميل</t>
        </is>
      </c>
      <c r="B35" s="19" t="n">
        <v>0</v>
      </c>
      <c r="C35" s="5" t="inlineStr">
        <is>
          <t>$ / Prospect</t>
        </is>
      </c>
      <c r="D35" s="5" t="inlineStr">
        <is>
          <t>مفيش مزود تحقق مربوط. حط سعره لما يتربط</t>
        </is>
      </c>
    </row>
    <row r="36">
      <c r="A36" s="5" t="inlineStr">
        <is>
          <t>تكلفة صانع القرار الواحد</t>
        </is>
      </c>
      <c r="B36" s="19" t="n">
        <v>0</v>
      </c>
      <c r="C36" s="5" t="inlineStr">
        <is>
          <t>$ / شخص</t>
        </is>
      </c>
      <c r="D36" s="5" t="inlineStr">
        <is>
          <t>مفيش مصدر لصنّاع القرار. حط سعره لما يتربط</t>
        </is>
      </c>
    </row>
    <row r="37">
      <c r="A37" s="5" t="inlineStr">
        <is>
          <t>صنّاع القرار في الشهر — Pro</t>
        </is>
      </c>
      <c r="B37" s="17" t="n">
        <v>0</v>
      </c>
      <c r="C37" s="5" t="inlineStr">
        <is>
          <t>شخص</t>
        </is>
      </c>
      <c r="D37" s="5" t="inlineStr">
        <is>
          <t>قرارك بعد ربط المصدر</t>
        </is>
      </c>
    </row>
    <row r="38">
      <c r="A38" s="5" t="inlineStr">
        <is>
          <t>صنّاع القرار في الشهر — Growth</t>
        </is>
      </c>
      <c r="B38" s="17" t="n">
        <v>0</v>
      </c>
      <c r="C38" s="5" t="inlineStr">
        <is>
          <t>شخص</t>
        </is>
      </c>
      <c r="D38" s="5" t="inlineStr">
        <is>
          <t>قرارك بعد ربط المصدر</t>
        </is>
      </c>
    </row>
    <row r="39">
      <c r="A39" s="11" t="inlineStr">
        <is>
          <t>البنية التحتية — شهرياً</t>
        </is>
      </c>
      <c r="B39" s="12" t="n"/>
      <c r="C39" s="12" t="n"/>
      <c r="D39" s="12" t="n"/>
    </row>
    <row r="40">
      <c r="A40" s="5" t="inlineStr">
        <is>
          <t>Cloudflare Workers Paid</t>
        </is>
      </c>
      <c r="B40" s="13" t="n">
        <v>5</v>
      </c>
      <c r="C40" s="5" t="inlineStr">
        <is>
          <t>$ / شهر</t>
        </is>
      </c>
      <c r="D40" s="5" t="inlineStr">
        <is>
          <t>منك (مدفوع). فيه 10 مليون طلب في الشهر</t>
        </is>
      </c>
    </row>
    <row r="41">
      <c r="A41" s="5" t="inlineStr">
        <is>
          <t>Supabase — الخطة الحالية (Free)</t>
        </is>
      </c>
      <c r="B41" s="13" t="n">
        <v>0</v>
      </c>
      <c r="C41" s="5" t="inlineStr">
        <is>
          <t>$ / شهر</t>
        </is>
      </c>
      <c r="D41" s="5" t="inlineStr">
        <is>
          <t>منك</t>
        </is>
      </c>
    </row>
    <row r="42">
      <c r="A42" s="5" t="inlineStr">
        <is>
          <t>Supabase Pro (متأجلة)</t>
        </is>
      </c>
      <c r="B42" s="13" t="n">
        <v>25</v>
      </c>
      <c r="C42" s="5" t="inlineStr">
        <is>
          <t>$ / شهر</t>
        </is>
      </c>
      <c r="D42" s="5" t="inlineStr">
        <is>
          <t>سعر Supabase المعلن، راجعه على supabase.com/pricing</t>
        </is>
      </c>
    </row>
    <row r="43">
      <c r="A43" s="5" t="inlineStr">
        <is>
          <t>Resend — الخطة الحالية (Free)</t>
        </is>
      </c>
      <c r="B43" s="13" t="n">
        <v>0</v>
      </c>
      <c r="C43" s="5" t="inlineStr">
        <is>
          <t>$ / شهر</t>
        </is>
      </c>
      <c r="D43" s="5" t="inlineStr">
        <is>
          <t>منك. 3,000 إيميل في الشهر و100 في اليوم</t>
        </is>
      </c>
    </row>
    <row r="44">
      <c r="A44" s="5" t="inlineStr">
        <is>
          <t>Resend Pro (متأجلة)</t>
        </is>
      </c>
      <c r="B44" s="13" t="n">
        <v>20</v>
      </c>
      <c r="C44" s="5" t="inlineStr">
        <is>
          <t>$ / شهر</t>
        </is>
      </c>
      <c r="D44" s="5" t="inlineStr">
        <is>
          <t>سعر Resend المعلن (50,000 إيميل)، راجعه على resend.com/pricing</t>
        </is>
      </c>
    </row>
    <row r="45">
      <c r="A45" s="5" t="inlineStr">
        <is>
          <t>PostHog (Free)</t>
        </is>
      </c>
      <c r="B45" s="13" t="n">
        <v>0</v>
      </c>
      <c r="C45" s="5" t="inlineStr">
        <is>
          <t>$ / شهر</t>
        </is>
      </c>
      <c r="D45" s="5" t="inlineStr">
        <is>
          <t>منك. مليون حدث في الشهر</t>
        </is>
      </c>
    </row>
    <row r="46">
      <c r="A46" s="5" t="inlineStr">
        <is>
          <t>Sentry (Free)</t>
        </is>
      </c>
      <c r="B46" s="13" t="n">
        <v>0</v>
      </c>
      <c r="C46" s="5" t="inlineStr">
        <is>
          <t>$ / شهر</t>
        </is>
      </c>
      <c r="D46" s="5" t="inlineStr">
        <is>
          <t>منك 2026-10-07</t>
        </is>
      </c>
    </row>
    <row r="47">
      <c r="A47" s="5" t="inlineStr">
        <is>
          <t>Gemini — اشتراك ثابت</t>
        </is>
      </c>
      <c r="B47" s="13" t="n">
        <v>0</v>
      </c>
      <c r="C47" s="5" t="inlineStr">
        <is>
          <t>$ / شهر</t>
        </is>
      </c>
      <c r="D47" s="5" t="inlineStr">
        <is>
          <t>مفيش اشتراك: شحن مسبق بيتخصم حسب الاستخدام (محسوب في تكلفة AI)</t>
        </is>
      </c>
    </row>
    <row r="48">
      <c r="A48" s="5" t="inlineStr">
        <is>
          <t>الدومين yolias.com — سنوياً</t>
        </is>
      </c>
      <c r="B48" s="13" t="n">
        <v>11.92</v>
      </c>
      <c r="C48" s="5" t="inlineStr">
        <is>
          <t>$ / سنة</t>
        </is>
      </c>
      <c r="D48" s="5" t="inlineStr">
        <is>
          <t>منك 2026-10-07 (سعر التجديد)</t>
        </is>
      </c>
    </row>
    <row r="49">
      <c r="A49" s="5" t="inlineStr">
        <is>
          <t>احسب الترقيات المتأجلة؟ (1 = أيوه، 0 = لأ)</t>
        </is>
      </c>
      <c r="B49" s="17" t="n">
        <v>0</v>
      </c>
      <c r="C49" s="5" t="inlineStr">
        <is>
          <t>اختيار</t>
        </is>
      </c>
      <c r="D49" s="5" t="inlineStr">
        <is>
          <t>0 = الوضع الحالي. 1 = بعد ترقية Supabase Pro و Resend Pro</t>
        </is>
      </c>
    </row>
    <row r="50">
      <c r="A50" s="5" t="inlineStr">
        <is>
          <t>عدد العملاء اللي بتتوزع عليهم التكلفة الثابتة</t>
        </is>
      </c>
      <c r="B50" s="17" t="n">
        <v>100</v>
      </c>
      <c r="C50" s="5" t="inlineStr">
        <is>
          <t>عميل</t>
        </is>
      </c>
      <c r="D50" s="5" t="inlineStr">
        <is>
          <t>عشان نحسب نصيب العميل الواحد من البنية التحتية</t>
        </is>
      </c>
    </row>
    <row r="51">
      <c r="A51" s="11" t="inlineStr">
        <is>
          <t>افتراضات السعة (عشان نعرف إمتى تلزم الترقية)</t>
        </is>
      </c>
      <c r="B51" s="12" t="n"/>
      <c r="C51" s="12" t="n"/>
      <c r="D51" s="12" t="n"/>
    </row>
    <row r="52">
      <c r="A52" s="5" t="inlineStr">
        <is>
          <t>إيميلات لكل عميل في الشهر (دخول + فواتير + تنبيهات)</t>
        </is>
      </c>
      <c r="B52" s="17" t="n">
        <v>30</v>
      </c>
      <c r="C52" s="5" t="inlineStr">
        <is>
          <t>إيميل</t>
        </is>
      </c>
      <c r="D52" s="5" t="inlineStr">
        <is>
          <t>افتراض</t>
        </is>
      </c>
    </row>
    <row r="53">
      <c r="A53" s="5" t="inlineStr">
        <is>
          <t>حد Resend Free الشهري</t>
        </is>
      </c>
      <c r="B53" s="18" t="n">
        <v>3000</v>
      </c>
      <c r="C53" s="5" t="inlineStr">
        <is>
          <t>إيميل</t>
        </is>
      </c>
      <c r="D53" s="5" t="inlineStr">
        <is>
          <t>Resend</t>
        </is>
      </c>
    </row>
    <row r="54">
      <c r="A54" s="5" t="inlineStr">
        <is>
          <t>حد Resend Free اليومي</t>
        </is>
      </c>
      <c r="B54" s="18" t="n">
        <v>100</v>
      </c>
      <c r="C54" s="5" t="inlineStr">
        <is>
          <t>إيميل</t>
        </is>
      </c>
      <c r="D54" s="5" t="inlineStr">
        <is>
          <t>Resend</t>
        </is>
      </c>
    </row>
    <row r="55">
      <c r="A55" s="5" t="inlineStr">
        <is>
          <t>حد Resend Pro الشهري</t>
        </is>
      </c>
      <c r="B55" s="18" t="n">
        <v>50000</v>
      </c>
      <c r="C55" s="5" t="inlineStr">
        <is>
          <t>إيميل</t>
        </is>
      </c>
      <c r="D55" s="5" t="inlineStr">
        <is>
          <t>Resend</t>
        </is>
      </c>
    </row>
    <row r="56">
      <c r="A56" s="5" t="inlineStr">
        <is>
          <t>أحداث PostHog لكل عميل في الشهر</t>
        </is>
      </c>
      <c r="B56" s="17" t="n">
        <v>1000</v>
      </c>
      <c r="C56" s="5" t="inlineStr">
        <is>
          <t>حدث</t>
        </is>
      </c>
      <c r="D56" s="5" t="inlineStr">
        <is>
          <t>افتراض</t>
        </is>
      </c>
    </row>
    <row r="57">
      <c r="A57" s="5" t="inlineStr">
        <is>
          <t>حد PostHog Free</t>
        </is>
      </c>
      <c r="B57" s="18" t="n">
        <v>1000000</v>
      </c>
      <c r="C57" s="5" t="inlineStr">
        <is>
          <t>حدث</t>
        </is>
      </c>
      <c r="D57" s="5" t="inlineStr">
        <is>
          <t>PostHog</t>
        </is>
      </c>
    </row>
    <row r="58">
      <c r="A58" s="5" t="inlineStr">
        <is>
          <t>طلبات Workers لكل عميل في الشهر</t>
        </is>
      </c>
      <c r="B58" s="17" t="n">
        <v>20000</v>
      </c>
      <c r="C58" s="5" t="inlineStr">
        <is>
          <t>طلب</t>
        </is>
      </c>
      <c r="D58" s="5" t="inlineStr">
        <is>
          <t>افتراض</t>
        </is>
      </c>
    </row>
    <row r="59">
      <c r="A59" s="5" t="inlineStr">
        <is>
          <t>طلبات الـ Cron (كل دقيقة)</t>
        </is>
      </c>
      <c r="B59" s="18" t="n">
        <v>43200</v>
      </c>
      <c r="C59" s="5" t="inlineStr">
        <is>
          <t>طلب / شهر</t>
        </is>
      </c>
      <c r="D59" s="5" t="inlineStr">
        <is>
          <t>wrangler: schedule * * * * *</t>
        </is>
      </c>
    </row>
    <row r="60">
      <c r="A60" s="5" t="inlineStr">
        <is>
          <t>طلبات Workers ضمن الخطة</t>
        </is>
      </c>
      <c r="B60" s="18" t="n">
        <v>10000000</v>
      </c>
      <c r="C60" s="5" t="inlineStr">
        <is>
          <t>طلب</t>
        </is>
      </c>
      <c r="D60" s="5" t="inlineStr">
        <is>
          <t>Cloudflare Workers Paid</t>
        </is>
      </c>
    </row>
    <row r="61">
      <c r="A61" s="5" t="inlineStr">
        <is>
          <t>سعر الطلبات الزيادة</t>
        </is>
      </c>
      <c r="B61" s="13" t="n">
        <v>0.3</v>
      </c>
      <c r="C61" s="5" t="inlineStr">
        <is>
          <t>$ / مليون طلب</t>
        </is>
      </c>
      <c r="D61" s="5" t="inlineStr">
        <is>
          <t>Cloudflare (راجعه على developers.cloudflare.com/workers/platform/pricing)</t>
        </is>
      </c>
    </row>
    <row r="62">
      <c r="A62" s="5" t="inlineStr">
        <is>
          <t>نسبة عملاء Pro من العملاء المدفوعين</t>
        </is>
      </c>
      <c r="B62" s="16" t="n">
        <v>0.7</v>
      </c>
      <c r="C62" s="5" t="inlineStr">
        <is>
          <t>%</t>
        </is>
      </c>
      <c r="D62" s="5" t="inlineStr">
        <is>
          <t>افتراض (والباقي Growth)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تكلفة الذكاء الاصطناعي لكل عملية ولكل عميل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العملية</t>
        </is>
      </c>
      <c r="B3" s="4" t="inlineStr">
        <is>
          <t>Input (توكن)</t>
        </is>
      </c>
      <c r="C3" s="4" t="inlineStr">
        <is>
          <t>Output (توكن)</t>
        </is>
      </c>
      <c r="D3" s="4" t="inlineStr">
        <is>
          <t>التكلفة بالسعر الحالي</t>
        </is>
      </c>
      <c r="E3" s="4" t="inlineStr">
        <is>
          <t>التكلفة بسعر 2027</t>
        </is>
      </c>
      <c r="F3" s="4" t="inlineStr">
        <is>
          <t>التكلفة المستخدمة</t>
        </is>
      </c>
      <c r="G3" s="2" t="n"/>
    </row>
    <row r="4">
      <c r="A4" s="5" t="inlineStr">
        <is>
          <t>تحليل طلب البحث (مرة لكل بحث)</t>
        </is>
      </c>
      <c r="B4" s="7">
        <f>'المدخلات'!$B$18</f>
        <v/>
      </c>
      <c r="C4" s="7">
        <f>'المدخلات'!$B$19</f>
        <v/>
      </c>
      <c r="D4" s="21">
        <f>B4*'المدخلات'!$B$12/1000000+C4*'المدخلات'!$B$13/1000000</f>
        <v/>
      </c>
      <c r="E4" s="21">
        <f>B4*'المدخلات'!$B$14/1000000+C4*'المدخلات'!$B$15/1000000</f>
        <v/>
      </c>
      <c r="F4" s="21">
        <f>IF('المدخلات'!$B$16=2,E4,D4)</f>
        <v/>
      </c>
      <c r="G4" s="2" t="n"/>
    </row>
    <row r="5">
      <c r="A5" s="5" t="inlineStr">
        <is>
          <t>رسالة في Yolias AI</t>
        </is>
      </c>
      <c r="B5" s="7">
        <f>'المدخلات'!$B$20</f>
        <v/>
      </c>
      <c r="C5" s="7">
        <f>'المدخلات'!$B$21</f>
        <v/>
      </c>
      <c r="D5" s="21">
        <f>B5*'المدخلات'!$B$12/1000000+C5*'المدخلات'!$B$13/1000000</f>
        <v/>
      </c>
      <c r="E5" s="21">
        <f>B5*'المدخلات'!$B$14/1000000+C5*'المدخلات'!$B$15/1000000</f>
        <v/>
      </c>
      <c r="F5" s="21">
        <f>IF('المدخلات'!$B$16=2,E5,D5)</f>
        <v/>
      </c>
      <c r="G5" s="2" t="n"/>
    </row>
    <row r="6">
      <c r="A6" s="5" t="inlineStr">
        <is>
          <t>كتابة إيميل / رسالة تواصل</t>
        </is>
      </c>
      <c r="B6" s="7">
        <f>'المدخلات'!$B$22</f>
        <v/>
      </c>
      <c r="C6" s="7">
        <f>'المدخلات'!$B$23</f>
        <v/>
      </c>
      <c r="D6" s="21">
        <f>B6*'المدخلات'!$B$12/1000000+C6*'المدخلات'!$B$13/1000000</f>
        <v/>
      </c>
      <c r="E6" s="21">
        <f>B6*'المدخلات'!$B$14/1000000+C6*'المدخلات'!$B$15/1000000</f>
        <v/>
      </c>
      <c r="F6" s="21">
        <f>IF('المدخلات'!$B$16=2,E6,D6)</f>
        <v/>
      </c>
      <c r="G6" s="2" t="n"/>
    </row>
    <row r="7">
      <c r="A7" s="3" t="inlineStr">
        <is>
          <t>تقييم العميل المحتمل (Match) وتصنيفه: كود عادي، مش AI → التكلفة 0$</t>
        </is>
      </c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4" t="inlineStr">
        <is>
          <t>تكلفة AI للعميل في الشهر</t>
        </is>
      </c>
      <c r="B9" s="4" t="inlineStr">
        <is>
          <t>عمليات بحث</t>
        </is>
      </c>
      <c r="C9" s="4" t="inlineStr">
        <is>
          <t>رسائل AI</t>
        </is>
      </c>
      <c r="D9" s="4" t="inlineStr">
        <is>
          <t>رسايل مكتوبة</t>
        </is>
      </c>
      <c r="E9" s="4" t="inlineStr">
        <is>
          <t>بالسعر الحالي</t>
        </is>
      </c>
      <c r="F9" s="4" t="inlineStr">
        <is>
          <t>بسعر 2027</t>
        </is>
      </c>
      <c r="G9" s="11" t="inlineStr">
        <is>
          <t>المستخدمة</t>
        </is>
      </c>
    </row>
    <row r="10">
      <c r="A10" s="5" t="inlineStr">
        <is>
          <t>Pro — استخدام عادي</t>
        </is>
      </c>
      <c r="B10" s="22">
        <f>'المدخلات'!$B$25*1</f>
        <v/>
      </c>
      <c r="C10" s="22">
        <f>'المدخلات'!$B$26*1</f>
        <v/>
      </c>
      <c r="D10" s="22">
        <f>'المدخلات'!$B$27*1</f>
        <v/>
      </c>
      <c r="E10" s="23">
        <f>B10*$D$4+C10*$D$5+D10*$D$6</f>
        <v/>
      </c>
      <c r="F10" s="23">
        <f>B10*$E$4+C10*$E$5+D10*$E$6</f>
        <v/>
      </c>
      <c r="G10" s="23">
        <f>IF('المدخلات'!$B$16=2,F10,E10)</f>
        <v/>
      </c>
    </row>
    <row r="11">
      <c r="A11" s="5" t="inlineStr">
        <is>
          <t>Pro — أقصى استخدام</t>
        </is>
      </c>
      <c r="B11" s="22">
        <f>'المدخلات'!$B$25*'المدخلات'!$B$29</f>
        <v/>
      </c>
      <c r="C11" s="22">
        <f>'المدخلات'!$B$26*'المدخلات'!$B$29</f>
        <v/>
      </c>
      <c r="D11" s="22">
        <f>'المدخلات'!$B$27*'المدخلات'!$B$29</f>
        <v/>
      </c>
      <c r="E11" s="23">
        <f>B11*$D$4+C11*$D$5+D11*$D$6</f>
        <v/>
      </c>
      <c r="F11" s="23">
        <f>B11*$E$4+C11*$E$5+D11*$E$6</f>
        <v/>
      </c>
      <c r="G11" s="23">
        <f>IF('المدخلات'!$B$16=2,F11,E11)</f>
        <v/>
      </c>
    </row>
    <row r="12">
      <c r="A12" s="5" t="inlineStr">
        <is>
          <t>Growth — استخدام عادي</t>
        </is>
      </c>
      <c r="B12" s="22">
        <f>'المدخلات'!$B$25*'المدخلات'!$B$28</f>
        <v/>
      </c>
      <c r="C12" s="22">
        <f>'المدخلات'!$B$26*'المدخلات'!$B$28</f>
        <v/>
      </c>
      <c r="D12" s="22">
        <f>'المدخلات'!$B$27*'المدخلات'!$B$28</f>
        <v/>
      </c>
      <c r="E12" s="23">
        <f>B12*$D$4+C12*$D$5+D12*$D$6</f>
        <v/>
      </c>
      <c r="F12" s="23">
        <f>B12*$E$4+C12*$E$5+D12*$E$6</f>
        <v/>
      </c>
      <c r="G12" s="23">
        <f>IF('المدخلات'!$B$16=2,F12,E12)</f>
        <v/>
      </c>
    </row>
    <row r="13">
      <c r="A13" s="5" t="inlineStr">
        <is>
          <t>Growth — أقصى استخدام</t>
        </is>
      </c>
      <c r="B13" s="22">
        <f>'المدخلات'!$B$25*'المدخلات'!$B$28*'المدخلات'!$B$29</f>
        <v/>
      </c>
      <c r="C13" s="22">
        <f>'المدخلات'!$B$26*'المدخلات'!$B$28*'المدخلات'!$B$29</f>
        <v/>
      </c>
      <c r="D13" s="22">
        <f>'المدخلات'!$B$27*'المدخلات'!$B$28*'المدخلات'!$B$29</f>
        <v/>
      </c>
      <c r="E13" s="23">
        <f>B13*$D$4+C13*$D$5+D13*$D$6</f>
        <v/>
      </c>
      <c r="F13" s="23">
        <f>B13*$E$4+C13*$E$5+D13*$E$6</f>
        <v/>
      </c>
      <c r="G13" s="23">
        <f>IF('المدخلات'!$B$16=2,F13,E13)</f>
        <v/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التكلفة المستخدمة في باقي الشيت = حسب اختيار الأسعار في المدخلات</t>
        </is>
      </c>
      <c r="B15" s="2" t="n"/>
      <c r="C15" s="2" t="n"/>
      <c r="D15" s="2" t="n"/>
      <c r="E15" s="2" t="n"/>
      <c r="F15" s="2" t="n"/>
      <c r="G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تكلفة يولياس الشهرية حسب عدد العملاء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البند</t>
        </is>
      </c>
      <c r="B3" s="4" t="inlineStr">
        <is>
          <t>10 عملاء</t>
        </is>
      </c>
      <c r="C3" s="4" t="inlineStr">
        <is>
          <t>50 عميل</t>
        </is>
      </c>
      <c r="D3" s="4" t="inlineStr">
        <is>
          <t>100 عميل</t>
        </is>
      </c>
      <c r="E3" s="4" t="inlineStr">
        <is>
          <t>500 عميل</t>
        </is>
      </c>
      <c r="F3" s="4" t="inlineStr">
        <is>
          <t>1,000 عميل</t>
        </is>
      </c>
    </row>
    <row r="4">
      <c r="A4" s="8" t="inlineStr">
        <is>
          <t>عدد العملاء المدفوعين</t>
        </is>
      </c>
      <c r="B4" s="18" t="n">
        <v>10</v>
      </c>
      <c r="C4" s="18" t="n">
        <v>50</v>
      </c>
      <c r="D4" s="18" t="n">
        <v>100</v>
      </c>
      <c r="E4" s="18" t="n">
        <v>500</v>
      </c>
      <c r="F4" s="18" t="n">
        <v>1000</v>
      </c>
    </row>
    <row r="5">
      <c r="A5" s="8" t="inlineStr">
        <is>
          <t>التكاليف الثابتة</t>
        </is>
      </c>
      <c r="B5" s="2" t="n"/>
      <c r="C5" s="2" t="n"/>
      <c r="D5" s="2" t="n"/>
      <c r="E5" s="2" t="n"/>
      <c r="F5" s="2" t="n"/>
    </row>
    <row r="6">
      <c r="A6" s="5" t="inlineStr">
        <is>
          <t>Cloudflare Workers — الاشتراك</t>
        </is>
      </c>
      <c r="B6" s="23">
        <f>'المدخلات'!$B$40</f>
        <v/>
      </c>
      <c r="C6" s="23">
        <f>'المدخلات'!$B$40</f>
        <v/>
      </c>
      <c r="D6" s="23">
        <f>'المدخلات'!$B$40</f>
        <v/>
      </c>
      <c r="E6" s="23">
        <f>'المدخلات'!$B$40</f>
        <v/>
      </c>
      <c r="F6" s="23">
        <f>'المدخلات'!$B$40</f>
        <v/>
      </c>
    </row>
    <row r="7">
      <c r="A7" s="5" t="inlineStr">
        <is>
          <t>Cloudflare Workers — طلبات زيادة</t>
        </is>
      </c>
      <c r="B7" s="23">
        <f>MAX(0,B4*'المدخلات'!$B$58+'المدخلات'!$B$59-'المدخلات'!$B$60)/1000000*'المدخلات'!$B$61</f>
        <v/>
      </c>
      <c r="C7" s="23">
        <f>MAX(0,C4*'المدخلات'!$B$58+'المدخلات'!$B$59-'المدخلات'!$B$60)/1000000*'المدخلات'!$B$61</f>
        <v/>
      </c>
      <c r="D7" s="23">
        <f>MAX(0,D4*'المدخلات'!$B$58+'المدخلات'!$B$59-'المدخلات'!$B$60)/1000000*'المدخلات'!$B$61</f>
        <v/>
      </c>
      <c r="E7" s="23">
        <f>MAX(0,E4*'المدخلات'!$B$58+'المدخلات'!$B$59-'المدخلات'!$B$60)/1000000*'المدخلات'!$B$61</f>
        <v/>
      </c>
      <c r="F7" s="23">
        <f>MAX(0,F4*'المدخلات'!$B$58+'المدخلات'!$B$59-'المدخلات'!$B$60)/1000000*'المدخلات'!$B$61</f>
        <v/>
      </c>
    </row>
    <row r="8">
      <c r="A8" s="5" t="inlineStr">
        <is>
          <t>Supabase</t>
        </is>
      </c>
      <c r="B8" s="23">
        <f>IF('المدخلات'!$B$49=1,'المدخلات'!$B$42,'المدخلات'!$B$41)</f>
        <v/>
      </c>
      <c r="C8" s="23">
        <f>IF('المدخلات'!$B$49=1,'المدخلات'!$B$42,'المدخلات'!$B$41)</f>
        <v/>
      </c>
      <c r="D8" s="23">
        <f>IF('المدخلات'!$B$49=1,'المدخلات'!$B$42,'المدخلات'!$B$41)</f>
        <v/>
      </c>
      <c r="E8" s="23">
        <f>IF('المدخلات'!$B$49=1,'المدخلات'!$B$42,'المدخلات'!$B$41)</f>
        <v/>
      </c>
      <c r="F8" s="23">
        <f>IF('المدخلات'!$B$49=1,'المدخلات'!$B$42,'المدخلات'!$B$41)</f>
        <v/>
      </c>
    </row>
    <row r="9">
      <c r="A9" s="5" t="inlineStr">
        <is>
          <t>Resend</t>
        </is>
      </c>
      <c r="B9" s="23">
        <f>IF('المدخلات'!$B$49=1,'المدخلات'!$B$44,'المدخلات'!$B$43)</f>
        <v/>
      </c>
      <c r="C9" s="23">
        <f>IF('المدخلات'!$B$49=1,'المدخلات'!$B$44,'المدخلات'!$B$43)</f>
        <v/>
      </c>
      <c r="D9" s="23">
        <f>IF('المدخلات'!$B$49=1,'المدخلات'!$B$44,'المدخلات'!$B$43)</f>
        <v/>
      </c>
      <c r="E9" s="23">
        <f>IF('المدخلات'!$B$49=1,'المدخلات'!$B$44,'المدخلات'!$B$43)</f>
        <v/>
      </c>
      <c r="F9" s="23">
        <f>IF('المدخلات'!$B$49=1,'المدخلات'!$B$44,'المدخلات'!$B$43)</f>
        <v/>
      </c>
    </row>
    <row r="10">
      <c r="A10" s="5" t="inlineStr">
        <is>
          <t>PostHog</t>
        </is>
      </c>
      <c r="B10" s="23">
        <f>'المدخلات'!$B$45</f>
        <v/>
      </c>
      <c r="C10" s="23">
        <f>'المدخلات'!$B$45</f>
        <v/>
      </c>
      <c r="D10" s="23">
        <f>'المدخلات'!$B$45</f>
        <v/>
      </c>
      <c r="E10" s="23">
        <f>'المدخلات'!$B$45</f>
        <v/>
      </c>
      <c r="F10" s="23">
        <f>'المدخلات'!$B$45</f>
        <v/>
      </c>
    </row>
    <row r="11">
      <c r="A11" s="5" t="inlineStr">
        <is>
          <t>Sentry</t>
        </is>
      </c>
      <c r="B11" s="23">
        <f>'المدخلات'!$B$46</f>
        <v/>
      </c>
      <c r="C11" s="23">
        <f>'المدخلات'!$B$46</f>
        <v/>
      </c>
      <c r="D11" s="23">
        <f>'المدخلات'!$B$46</f>
        <v/>
      </c>
      <c r="E11" s="23">
        <f>'المدخلات'!$B$46</f>
        <v/>
      </c>
      <c r="F11" s="23">
        <f>'المدخلات'!$B$46</f>
        <v/>
      </c>
    </row>
    <row r="12">
      <c r="A12" s="5" t="inlineStr">
        <is>
          <t>Gemini (مفيش اشتراك ثابت)</t>
        </is>
      </c>
      <c r="B12" s="23">
        <f>'المدخلات'!$B$47</f>
        <v/>
      </c>
      <c r="C12" s="23">
        <f>'المدخلات'!$B$47</f>
        <v/>
      </c>
      <c r="D12" s="23">
        <f>'المدخلات'!$B$47</f>
        <v/>
      </c>
      <c r="E12" s="23">
        <f>'المدخلات'!$B$47</f>
        <v/>
      </c>
      <c r="F12" s="23">
        <f>'المدخلات'!$B$47</f>
        <v/>
      </c>
    </row>
    <row r="13">
      <c r="A13" s="5" t="inlineStr">
        <is>
          <t>الدومين (السنوي ÷ 12)</t>
        </is>
      </c>
      <c r="B13" s="23">
        <f>'المدخلات'!$B$48/12</f>
        <v/>
      </c>
      <c r="C13" s="23">
        <f>'المدخلات'!$B$48/12</f>
        <v/>
      </c>
      <c r="D13" s="23">
        <f>'المدخلات'!$B$48/12</f>
        <v/>
      </c>
      <c r="E13" s="23">
        <f>'المدخلات'!$B$48/12</f>
        <v/>
      </c>
      <c r="F13" s="23">
        <f>'المدخلات'!$B$48/12</f>
        <v/>
      </c>
    </row>
    <row r="14">
      <c r="A14" s="8" t="inlineStr">
        <is>
          <t>إجمالي التكلفة الثابتة في الشهر</t>
        </is>
      </c>
      <c r="B14" s="24">
        <f>SUM(B6:B13)</f>
        <v/>
      </c>
      <c r="C14" s="24">
        <f>SUM(C6:C13)</f>
        <v/>
      </c>
      <c r="D14" s="24">
        <f>SUM(D6:D13)</f>
        <v/>
      </c>
      <c r="E14" s="24">
        <f>SUM(E6:E13)</f>
        <v/>
      </c>
      <c r="F14" s="24">
        <f>SUM(F6:F13)</f>
        <v/>
      </c>
    </row>
    <row r="15">
      <c r="A15" s="2" t="n"/>
      <c r="B15" s="2" t="n"/>
      <c r="C15" s="2" t="n"/>
      <c r="D15" s="2" t="n"/>
      <c r="E15" s="2" t="n"/>
      <c r="F15" s="2" t="n"/>
    </row>
    <row r="16">
      <c r="A16" s="8" t="inlineStr">
        <is>
          <t>هل الخطط المجانية كفاية؟</t>
        </is>
      </c>
      <c r="B16" s="2" t="n"/>
      <c r="C16" s="2" t="n"/>
      <c r="D16" s="2" t="n"/>
      <c r="E16" s="2" t="n"/>
      <c r="F16" s="2" t="n"/>
    </row>
    <row r="17">
      <c r="A17" s="2" t="inlineStr">
        <is>
          <t>إيميلات في الشهر</t>
        </is>
      </c>
      <c r="B17" s="22">
        <f>B4*'المدخلات'!$B$52</f>
        <v/>
      </c>
      <c r="C17" s="22">
        <f>C4*'المدخلات'!$B$52</f>
        <v/>
      </c>
      <c r="D17" s="22">
        <f>D4*'المدخلات'!$B$52</f>
        <v/>
      </c>
      <c r="E17" s="22">
        <f>E4*'المدخلات'!$B$52</f>
        <v/>
      </c>
      <c r="F17" s="22">
        <f>F4*'المدخلات'!$B$52</f>
        <v/>
      </c>
    </row>
    <row r="18">
      <c r="A18" s="2" t="inlineStr">
        <is>
          <t>إيميلات في اليوم (متوسط)</t>
        </is>
      </c>
      <c r="B18" s="22">
        <f>B17/30</f>
        <v/>
      </c>
      <c r="C18" s="22">
        <f>C17/30</f>
        <v/>
      </c>
      <c r="D18" s="22">
        <f>D17/30</f>
        <v/>
      </c>
      <c r="E18" s="22">
        <f>E17/30</f>
        <v/>
      </c>
      <c r="F18" s="22">
        <f>F17/30</f>
        <v/>
      </c>
    </row>
    <row r="19">
      <c r="A19" s="2" t="inlineStr">
        <is>
          <t>Resend</t>
        </is>
      </c>
      <c r="B19" s="5">
        <f>IF('المدخلات'!$B$49=1,IF(B17&lt;='المدخلات'!$B$55,"Pro كفاية","محتاج خطة أعلى"),IF(AND(B17&lt;='المدخلات'!$B$53,B18&lt;='المدخلات'!$B$54),"المجاني كفاية","لازم ترقية"))</f>
        <v/>
      </c>
      <c r="C19" s="5">
        <f>IF('المدخلات'!$B$49=1,IF(C17&lt;='المدخلات'!$B$55,"Pro كفاية","محتاج خطة أعلى"),IF(AND(C17&lt;='المدخلات'!$B$53,C18&lt;='المدخلات'!$B$54),"المجاني كفاية","لازم ترقية"))</f>
        <v/>
      </c>
      <c r="D19" s="5">
        <f>IF('المدخلات'!$B$49=1,IF(D17&lt;='المدخلات'!$B$55,"Pro كفاية","محتاج خطة أعلى"),IF(AND(D17&lt;='المدخلات'!$B$53,D18&lt;='المدخلات'!$B$54),"المجاني كفاية","لازم ترقية"))</f>
        <v/>
      </c>
      <c r="E19" s="5">
        <f>IF('المدخلات'!$B$49=1,IF(E17&lt;='المدخلات'!$B$55,"Pro كفاية","محتاج خطة أعلى"),IF(AND(E17&lt;='المدخلات'!$B$53,E18&lt;='المدخلات'!$B$54),"المجاني كفاية","لازم ترقية"))</f>
        <v/>
      </c>
      <c r="F19" s="5">
        <f>IF('المدخلات'!$B$49=1,IF(F17&lt;='المدخلات'!$B$55,"Pro كفاية","محتاج خطة أعلى"),IF(AND(F17&lt;='المدخلات'!$B$53,F18&lt;='المدخلات'!$B$54),"المجاني كفاية","لازم ترقية"))</f>
        <v/>
      </c>
    </row>
    <row r="20">
      <c r="A20" s="2" t="inlineStr">
        <is>
          <t>أحداث PostHog في الشهر</t>
        </is>
      </c>
      <c r="B20" s="22">
        <f>B4*'المدخلات'!$B$56</f>
        <v/>
      </c>
      <c r="C20" s="22">
        <f>C4*'المدخلات'!$B$56</f>
        <v/>
      </c>
      <c r="D20" s="22">
        <f>D4*'المدخلات'!$B$56</f>
        <v/>
      </c>
      <c r="E20" s="22">
        <f>E4*'المدخلات'!$B$56</f>
        <v/>
      </c>
      <c r="F20" s="22">
        <f>F4*'المدخلات'!$B$56</f>
        <v/>
      </c>
    </row>
    <row r="21">
      <c r="A21" s="2" t="inlineStr">
        <is>
          <t>PostHog</t>
        </is>
      </c>
      <c r="B21" s="5">
        <f>IF(B20&lt;='المدخلات'!$B$57,"المجاني كفاية","هيبدأ يتحاسب")</f>
        <v/>
      </c>
      <c r="C21" s="5">
        <f>IF(C20&lt;='المدخلات'!$B$57,"المجاني كفاية","هيبدأ يتحاسب")</f>
        <v/>
      </c>
      <c r="D21" s="5">
        <f>IF(D20&lt;='المدخلات'!$B$57,"المجاني كفاية","هيبدأ يتحاسب")</f>
        <v/>
      </c>
      <c r="E21" s="5">
        <f>IF(E20&lt;='المدخلات'!$B$57,"المجاني كفاية","هيبدأ يتحاسب")</f>
        <v/>
      </c>
      <c r="F21" s="5">
        <f>IF(F20&lt;='المدخلات'!$B$57,"المجاني كفاية","هيبدأ يتحاسب")</f>
        <v/>
      </c>
    </row>
    <row r="22">
      <c r="A22" s="2" t="n"/>
      <c r="B22" s="2" t="n"/>
      <c r="C22" s="2" t="n"/>
      <c r="D22" s="2" t="n"/>
      <c r="E22" s="2" t="n"/>
      <c r="F22" s="2" t="n"/>
    </row>
    <row r="23">
      <c r="A23" s="8" t="inlineStr">
        <is>
          <t>الإيرادات والربح الشهري (استخدام عادي)</t>
        </is>
      </c>
      <c r="B23" s="2" t="n"/>
      <c r="C23" s="2" t="n"/>
      <c r="D23" s="2" t="n"/>
      <c r="E23" s="2" t="n"/>
      <c r="F23" s="2" t="n"/>
    </row>
    <row r="24">
      <c r="A24" s="5" t="inlineStr">
        <is>
          <t>عملاء Pro</t>
        </is>
      </c>
      <c r="B24" s="22">
        <f>ROUND(B4*'المدخلات'!$B$62,0)</f>
        <v/>
      </c>
      <c r="C24" s="22">
        <f>ROUND(C4*'المدخلات'!$B$62,0)</f>
        <v/>
      </c>
      <c r="D24" s="22">
        <f>ROUND(D4*'المدخلات'!$B$62,0)</f>
        <v/>
      </c>
      <c r="E24" s="22">
        <f>ROUND(E4*'المدخلات'!$B$62,0)</f>
        <v/>
      </c>
      <c r="F24" s="22">
        <f>ROUND(F4*'المدخلات'!$B$62,0)</f>
        <v/>
      </c>
    </row>
    <row r="25">
      <c r="A25" s="5" t="inlineStr">
        <is>
          <t>عملاء Growth</t>
        </is>
      </c>
      <c r="B25" s="22">
        <f>B4-B24</f>
        <v/>
      </c>
      <c r="C25" s="22">
        <f>C4-C24</f>
        <v/>
      </c>
      <c r="D25" s="22">
        <f>D4-D24</f>
        <v/>
      </c>
      <c r="E25" s="22">
        <f>E4-E24</f>
        <v/>
      </c>
      <c r="F25" s="22">
        <f>F4-F24</f>
        <v/>
      </c>
    </row>
    <row r="26">
      <c r="A26" s="5" t="inlineStr">
        <is>
          <t>الإيرادات</t>
        </is>
      </c>
      <c r="B26" s="23">
        <f>B24*'المدخلات'!$B$5+B25*'المدخلات'!$B$6</f>
        <v/>
      </c>
      <c r="C26" s="23">
        <f>C24*'المدخلات'!$B$5+C25*'المدخلات'!$B$6</f>
        <v/>
      </c>
      <c r="D26" s="23">
        <f>D24*'المدخلات'!$B$5+D25*'المدخلات'!$B$6</f>
        <v/>
      </c>
      <c r="E26" s="23">
        <f>E24*'المدخلات'!$B$5+E25*'المدخلات'!$B$6</f>
        <v/>
      </c>
      <c r="F26" s="23">
        <f>F24*'المدخلات'!$B$5+F25*'المدخلات'!$B$6</f>
        <v/>
      </c>
    </row>
    <row r="27">
      <c r="A27" s="5" t="inlineStr">
        <is>
          <t>رسوم Paymob</t>
        </is>
      </c>
      <c r="B27" s="23">
        <f>(B26*'المدخلات'!$B$8+B4*'المدخلات'!$B$9)*(1+'المدخلات'!$B$10)</f>
        <v/>
      </c>
      <c r="C27" s="23">
        <f>(C26*'المدخلات'!$B$8+C4*'المدخلات'!$B$9)*(1+'المدخلات'!$B$10)</f>
        <v/>
      </c>
      <c r="D27" s="23">
        <f>(D26*'المدخلات'!$B$8+D4*'المدخلات'!$B$9)*(1+'المدخلات'!$B$10)</f>
        <v/>
      </c>
      <c r="E27" s="23">
        <f>(E26*'المدخلات'!$B$8+E4*'المدخلات'!$B$9)*(1+'المدخلات'!$B$10)</f>
        <v/>
      </c>
      <c r="F27" s="23">
        <f>(F26*'المدخلات'!$B$8+F4*'المدخلات'!$B$9)*(1+'المدخلات'!$B$10)</f>
        <v/>
      </c>
    </row>
    <row r="28">
      <c r="A28" s="5" t="inlineStr">
        <is>
          <t>تكلفة AI</t>
        </is>
      </c>
      <c r="B28" s="23">
        <f>B24*'تكلفة AI'!$G$10+B25*'تكلفة AI'!$G$12</f>
        <v/>
      </c>
      <c r="C28" s="23">
        <f>C24*'تكلفة AI'!$G$10+C25*'تكلفة AI'!$G$12</f>
        <v/>
      </c>
      <c r="D28" s="23">
        <f>D24*'تكلفة AI'!$G$10+D25*'تكلفة AI'!$G$12</f>
        <v/>
      </c>
      <c r="E28" s="23">
        <f>E24*'تكلفة AI'!$G$10+E25*'تكلفة AI'!$G$12</f>
        <v/>
      </c>
      <c r="F28" s="23">
        <f>F24*'تكلفة AI'!$G$10+F25*'تكلفة AI'!$G$12</f>
        <v/>
      </c>
    </row>
    <row r="29">
      <c r="A29" s="5" t="inlineStr">
        <is>
          <t>التكلفة الثابتة</t>
        </is>
      </c>
      <c r="B29" s="23">
        <f>B14</f>
        <v/>
      </c>
      <c r="C29" s="23">
        <f>C14</f>
        <v/>
      </c>
      <c r="D29" s="23">
        <f>D14</f>
        <v/>
      </c>
      <c r="E29" s="23">
        <f>E14</f>
        <v/>
      </c>
      <c r="F29" s="23">
        <f>F14</f>
        <v/>
      </c>
    </row>
    <row r="30">
      <c r="A30" s="5" t="inlineStr">
        <is>
          <t>تكلفة البيانات — قبل المزود</t>
        </is>
      </c>
      <c r="B30" s="23">
        <f>B24*('المدخلات'!$B$31*('المدخلات'!$B$34+'المدخلات'!$B$35)+'المدخلات'!$B$37*'المدخلات'!$B$36)+B25*('المدخلات'!$B$32*('المدخلات'!$B$34+'المدخلات'!$B$35)+'المدخلات'!$B$38*'المدخلات'!$B$36)</f>
        <v/>
      </c>
      <c r="C30" s="23">
        <f>C24*('المدخلات'!$B$31*('المدخلات'!$B$34+'المدخلات'!$B$35)+'المدخلات'!$B$37*'المدخلات'!$B$36)+C25*('المدخلات'!$B$32*('المدخلات'!$B$34+'المدخلات'!$B$35)+'المدخلات'!$B$38*'المدخلات'!$B$36)</f>
        <v/>
      </c>
      <c r="D30" s="23">
        <f>D24*('المدخلات'!$B$31*('المدخلات'!$B$34+'المدخلات'!$B$35)+'المدخلات'!$B$37*'المدخلات'!$B$36)+D25*('المدخلات'!$B$32*('المدخلات'!$B$34+'المدخلات'!$B$35)+'المدخلات'!$B$38*'المدخلات'!$B$36)</f>
        <v/>
      </c>
      <c r="E30" s="23">
        <f>E24*('المدخلات'!$B$31*('المدخلات'!$B$34+'المدخلات'!$B$35)+'المدخلات'!$B$37*'المدخلات'!$B$36)+E25*('المدخلات'!$B$32*('المدخلات'!$B$34+'المدخلات'!$B$35)+'المدخلات'!$B$38*'المدخلات'!$B$36)</f>
        <v/>
      </c>
      <c r="F30" s="23">
        <f>F24*('المدخلات'!$B$31*('المدخلات'!$B$34+'المدخلات'!$B$35)+'المدخلات'!$B$37*'المدخلات'!$B$36)+F25*('المدخلات'!$B$32*('المدخلات'!$B$34+'المدخلات'!$B$35)+'المدخلات'!$B$38*'المدخلات'!$B$36)</f>
        <v/>
      </c>
    </row>
    <row r="31">
      <c r="A31" s="5" t="inlineStr">
        <is>
          <t>تكلفة البيانات — مع المزود</t>
        </is>
      </c>
      <c r="B31" s="23">
        <f>B30+(B24*'المدخلات'!$B$31+B25*'المدخلات'!$B$32)*'المدخلات'!$B$33</f>
        <v/>
      </c>
      <c r="C31" s="23">
        <f>C30+(C24*'المدخلات'!$B$31+C25*'المدخلات'!$B$32)*'المدخلات'!$B$33</f>
        <v/>
      </c>
      <c r="D31" s="23">
        <f>D30+(D24*'المدخلات'!$B$31+D25*'المدخلات'!$B$32)*'المدخلات'!$B$33</f>
        <v/>
      </c>
      <c r="E31" s="23">
        <f>E30+(E24*'المدخلات'!$B$31+E25*'المدخلات'!$B$32)*'المدخلات'!$B$33</f>
        <v/>
      </c>
      <c r="F31" s="23">
        <f>F30+(F24*'المدخلات'!$B$31+F25*'المدخلات'!$B$32)*'المدخلات'!$B$33</f>
        <v/>
      </c>
    </row>
    <row r="32">
      <c r="A32" s="8" t="inlineStr">
        <is>
          <t>إجمالي الربح — قبل المزود</t>
        </is>
      </c>
      <c r="B32" s="25">
        <f>B26-B27-B28-B29-B30</f>
        <v/>
      </c>
      <c r="C32" s="25">
        <f>C26-C27-C28-C29-C30</f>
        <v/>
      </c>
      <c r="D32" s="25">
        <f>D26-D27-D28-D29-D30</f>
        <v/>
      </c>
      <c r="E32" s="25">
        <f>E26-E27-E28-E29-E30</f>
        <v/>
      </c>
      <c r="F32" s="25">
        <f>F26-F27-F28-F29-F30</f>
        <v/>
      </c>
    </row>
    <row r="33">
      <c r="A33" s="8" t="inlineStr">
        <is>
          <t>هامش الربح — قبل المزود</t>
        </is>
      </c>
      <c r="B33" s="26">
        <f>IF(B26=0,0,B32/B26)</f>
        <v/>
      </c>
      <c r="C33" s="26">
        <f>IF(C26=0,0,C32/C26)</f>
        <v/>
      </c>
      <c r="D33" s="26">
        <f>IF(D26=0,0,D32/D26)</f>
        <v/>
      </c>
      <c r="E33" s="26">
        <f>IF(E26=0,0,E32/E26)</f>
        <v/>
      </c>
      <c r="F33" s="26">
        <f>IF(F26=0,0,F32/F26)</f>
        <v/>
      </c>
    </row>
    <row r="34">
      <c r="A34" s="8" t="inlineStr">
        <is>
          <t>إجمالي الربح — مع المزود</t>
        </is>
      </c>
      <c r="B34" s="25">
        <f>B26-B27-B28-B29-B31</f>
        <v/>
      </c>
      <c r="C34" s="25">
        <f>C26-C27-C28-C29-C31</f>
        <v/>
      </c>
      <c r="D34" s="25">
        <f>D26-D27-D28-D29-D31</f>
        <v/>
      </c>
      <c r="E34" s="25">
        <f>E26-E27-E28-E29-E31</f>
        <v/>
      </c>
      <c r="F34" s="25">
        <f>F26-F27-F28-F29-F31</f>
        <v/>
      </c>
    </row>
    <row r="35">
      <c r="A35" s="8" t="inlineStr">
        <is>
          <t>هامش الربح — مع المزود</t>
        </is>
      </c>
      <c r="B35" s="26">
        <f>IF(B26=0,0,B34/B26)</f>
        <v/>
      </c>
      <c r="C35" s="26">
        <f>IF(C26=0,0,C34/C26)</f>
        <v/>
      </c>
      <c r="D35" s="26">
        <f>IF(D26=0,0,D34/D26)</f>
        <v/>
      </c>
      <c r="E35" s="26">
        <f>IF(E26=0,0,E34/E26)</f>
        <v/>
      </c>
      <c r="F35" s="26">
        <f>IF(F26=0,0,F34/F26)</f>
        <v/>
      </c>
    </row>
    <row r="36">
      <c r="A36" s="2" t="n"/>
      <c r="B36" s="2" t="n"/>
      <c r="C36" s="2" t="n"/>
      <c r="D36" s="2" t="n"/>
      <c r="E36" s="2" t="n"/>
      <c r="F36" s="2" t="n"/>
    </row>
    <row r="37">
      <c r="A37" s="3" t="inlineStr">
        <is>
          <t>ثابت: Workers، و Supabase، و Resend، و PostHog، و Sentry، والدومين. متغيّر مع الاستخدام: Paymob، و Gemini، والمزود، والتحقق، وصنّاع القرار، وطلبات Workers الزيادة.</t>
        </is>
      </c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8" t="inlineStr">
        <is>
          <t>التكلفة الثابتة المستخدمة في توزيع نصيب العميل</t>
        </is>
      </c>
      <c r="B39" s="23">
        <f>'المدخلات'!$B$40+IF('المدخلات'!$B$49=1,'المدخلات'!$B$42+'المدخلات'!$B$44,'المدخلات'!$B$41+'المدخلات'!$B$43)+'المدخلات'!$B$45+'المدخلات'!$B$46+'المدخلات'!$B$47+'المدخلات'!$B$48/12</f>
        <v/>
      </c>
      <c r="C39" s="2" t="n"/>
      <c r="D39" s="2" t="n"/>
      <c r="E39" s="2" t="n"/>
      <c r="F39" s="2" t="n"/>
    </row>
    <row r="40">
      <c r="A40" s="8" t="inlineStr">
        <is>
          <t>نصيب العميل الواحد في الشهر</t>
        </is>
      </c>
      <c r="B40" s="25">
        <f>IF('المدخلات'!$B$50=0,0,B39/'المدخلات'!$B$50)</f>
        <v/>
      </c>
      <c r="C40" s="2" t="n"/>
      <c r="D40" s="2" t="n"/>
      <c r="E40" s="2" t="n"/>
      <c r="F4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ربح العميل الواحد في الشهر — قبل المزود ومع المزود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8" t="inlineStr">
        <is>
          <t>1) استخدام عادي</t>
        </is>
      </c>
      <c r="B3" s="2" t="n"/>
      <c r="C3" s="2" t="n"/>
      <c r="D3" s="2" t="n"/>
      <c r="E3" s="2" t="n"/>
    </row>
    <row r="4">
      <c r="A4" s="4" t="inlineStr"/>
      <c r="B4" s="4" t="inlineStr">
        <is>
          <t>Pro — قبل المزود</t>
        </is>
      </c>
      <c r="C4" s="4" t="inlineStr">
        <is>
          <t>Pro — مع المزود</t>
        </is>
      </c>
      <c r="D4" s="4" t="inlineStr">
        <is>
          <t>Growth — قبل المزود</t>
        </is>
      </c>
      <c r="E4" s="4" t="inlineStr">
        <is>
          <t>Growth — مع المزود</t>
        </is>
      </c>
    </row>
    <row r="5">
      <c r="A5" s="5" t="inlineStr">
        <is>
          <t>الإيراد</t>
        </is>
      </c>
      <c r="B5" s="6">
        <f>'المدخلات'!$B$5</f>
        <v/>
      </c>
      <c r="C5" s="6">
        <f>'المدخلات'!$B$5</f>
        <v/>
      </c>
      <c r="D5" s="6">
        <f>'المدخلات'!$B$6</f>
        <v/>
      </c>
      <c r="E5" s="6">
        <f>'المدخلات'!$B$6</f>
        <v/>
      </c>
    </row>
    <row r="6">
      <c r="A6" s="5" t="inlineStr">
        <is>
          <t>عدد العملاء المحتملين</t>
        </is>
      </c>
      <c r="B6" s="7">
        <f>'المدخلات'!$B$31</f>
        <v/>
      </c>
      <c r="C6" s="7">
        <f>'المدخلات'!$B$31</f>
        <v/>
      </c>
      <c r="D6" s="7">
        <f>'المدخلات'!$B$32</f>
        <v/>
      </c>
      <c r="E6" s="7">
        <f>'المدخلات'!$B$32</f>
        <v/>
      </c>
    </row>
    <row r="7">
      <c r="A7" s="5" t="inlineStr">
        <is>
          <t>رسوم Paymob</t>
        </is>
      </c>
      <c r="B7" s="23">
        <f>(B5*'المدخلات'!$B$8+'المدخلات'!$B$9)*(1+'المدخلات'!$B$10)</f>
        <v/>
      </c>
      <c r="C7" s="23">
        <f>(C5*'المدخلات'!$B$8+'المدخلات'!$B$9)*(1+'المدخلات'!$B$10)</f>
        <v/>
      </c>
      <c r="D7" s="23">
        <f>(D5*'المدخلات'!$B$8+'المدخلات'!$B$9)*(1+'المدخلات'!$B$10)</f>
        <v/>
      </c>
      <c r="E7" s="23">
        <f>(E5*'المدخلات'!$B$8+'المدخلات'!$B$9)*(1+'المدخلات'!$B$10)</f>
        <v/>
      </c>
    </row>
    <row r="8">
      <c r="A8" s="5" t="inlineStr">
        <is>
          <t>تكلفة AI</t>
        </is>
      </c>
      <c r="B8" s="6">
        <f>'تكلفة AI'!$G$10</f>
        <v/>
      </c>
      <c r="C8" s="6">
        <f>'تكلفة AI'!$G$10</f>
        <v/>
      </c>
      <c r="D8" s="6">
        <f>'تكلفة AI'!$G$12</f>
        <v/>
      </c>
      <c r="E8" s="6">
        <f>'تكلفة AI'!$G$12</f>
        <v/>
      </c>
    </row>
    <row r="9">
      <c r="A9" s="5" t="inlineStr">
        <is>
          <t>نصيب البنية التحتية</t>
        </is>
      </c>
      <c r="B9" s="6">
        <f>'التكلفة الثابتة'!$B$40</f>
        <v/>
      </c>
      <c r="C9" s="6">
        <f>'التكلفة الثابتة'!$B$40</f>
        <v/>
      </c>
      <c r="D9" s="6">
        <f>'التكلفة الثابتة'!$B$40</f>
        <v/>
      </c>
      <c r="E9" s="6">
        <f>'التكلفة الثابتة'!$B$40</f>
        <v/>
      </c>
    </row>
    <row r="10">
      <c r="A10" s="5" t="inlineStr">
        <is>
          <t>تكلفة المزود</t>
        </is>
      </c>
      <c r="B10" s="23" t="n">
        <v>0</v>
      </c>
      <c r="C10" s="23">
        <f>C6*'المدخلات'!$B$33</f>
        <v/>
      </c>
      <c r="D10" s="23" t="n">
        <v>0</v>
      </c>
      <c r="E10" s="23">
        <f>E6*'المدخلات'!$B$33</f>
        <v/>
      </c>
    </row>
    <row r="11">
      <c r="A11" s="5" t="inlineStr">
        <is>
          <t>قراءة الموقع + التحقق</t>
        </is>
      </c>
      <c r="B11" s="23">
        <f>B6*('المدخلات'!$B$34+'المدخلات'!$B$35)</f>
        <v/>
      </c>
      <c r="C11" s="23">
        <f>C6*('المدخلات'!$B$34+'المدخلات'!$B$35)</f>
        <v/>
      </c>
      <c r="D11" s="23">
        <f>D6*('المدخلات'!$B$34+'المدخلات'!$B$35)</f>
        <v/>
      </c>
      <c r="E11" s="23">
        <f>E6*('المدخلات'!$B$34+'المدخلات'!$B$35)</f>
        <v/>
      </c>
    </row>
    <row r="12">
      <c r="A12" s="5" t="inlineStr">
        <is>
          <t>صنّاع القرار</t>
        </is>
      </c>
      <c r="B12" s="23">
        <f>'المدخلات'!$B$37*'المدخلات'!$B$36</f>
        <v/>
      </c>
      <c r="C12" s="23">
        <f>'المدخلات'!$B$37*'المدخلات'!$B$36</f>
        <v/>
      </c>
      <c r="D12" s="23">
        <f>'المدخلات'!$B$38*'المدخلات'!$B$36</f>
        <v/>
      </c>
      <c r="E12" s="23">
        <f>'المدخلات'!$B$38*'المدخلات'!$B$36</f>
        <v/>
      </c>
    </row>
    <row r="13">
      <c r="A13" s="8" t="inlineStr">
        <is>
          <t>إجمالي التكلفة</t>
        </is>
      </c>
      <c r="B13" s="25">
        <f>SUM(B7:B12)</f>
        <v/>
      </c>
      <c r="C13" s="25">
        <f>SUM(C7:C12)</f>
        <v/>
      </c>
      <c r="D13" s="25">
        <f>SUM(D7:D12)</f>
        <v/>
      </c>
      <c r="E13" s="25">
        <f>SUM(E7:E12)</f>
        <v/>
      </c>
    </row>
    <row r="14">
      <c r="A14" s="8" t="inlineStr">
        <is>
          <t>إجمالي الربح</t>
        </is>
      </c>
      <c r="B14" s="24">
        <f>B5-B13</f>
        <v/>
      </c>
      <c r="C14" s="24">
        <f>C5-C13</f>
        <v/>
      </c>
      <c r="D14" s="24">
        <f>D5-D13</f>
        <v/>
      </c>
      <c r="E14" s="24">
        <f>E5-E13</f>
        <v/>
      </c>
    </row>
    <row r="15">
      <c r="A15" s="8" t="inlineStr">
        <is>
          <t>هامش الربح</t>
        </is>
      </c>
      <c r="B15" s="26">
        <f>IF(B5=0,0,B14/B5)</f>
        <v/>
      </c>
      <c r="C15" s="26">
        <f>IF(C5=0,0,C14/C5)</f>
        <v/>
      </c>
      <c r="D15" s="26">
        <f>IF(D5=0,0,D14/D5)</f>
        <v/>
      </c>
      <c r="E15" s="26">
        <f>IF(E5=0,0,E14/E5)</f>
        <v/>
      </c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8" t="inlineStr">
        <is>
          <t>2) أقصى استخدام (العميل بيخلّص كل العملاء المحتملين ويستخدم AI أكتر بكتير)</t>
        </is>
      </c>
      <c r="B18" s="2" t="n"/>
      <c r="C18" s="2" t="n"/>
      <c r="D18" s="2" t="n"/>
      <c r="E18" s="2" t="n"/>
    </row>
    <row r="19">
      <c r="A19" s="4" t="inlineStr"/>
      <c r="B19" s="4" t="inlineStr">
        <is>
          <t>Pro — قبل المزود</t>
        </is>
      </c>
      <c r="C19" s="4" t="inlineStr">
        <is>
          <t>Pro — مع المزود</t>
        </is>
      </c>
      <c r="D19" s="4" t="inlineStr">
        <is>
          <t>Growth — قبل المزود</t>
        </is>
      </c>
      <c r="E19" s="4" t="inlineStr">
        <is>
          <t>Growth — مع المزود</t>
        </is>
      </c>
    </row>
    <row r="20">
      <c r="A20" s="5" t="inlineStr">
        <is>
          <t>الإيراد</t>
        </is>
      </c>
      <c r="B20" s="6">
        <f>'المدخلات'!$B$5</f>
        <v/>
      </c>
      <c r="C20" s="6">
        <f>'المدخلات'!$B$5</f>
        <v/>
      </c>
      <c r="D20" s="6">
        <f>'المدخلات'!$B$6</f>
        <v/>
      </c>
      <c r="E20" s="6">
        <f>'المدخلات'!$B$6</f>
        <v/>
      </c>
    </row>
    <row r="21">
      <c r="A21" s="5" t="inlineStr">
        <is>
          <t>عدد العملاء المحتملين</t>
        </is>
      </c>
      <c r="B21" s="7">
        <f>'المدخلات'!$B$31</f>
        <v/>
      </c>
      <c r="C21" s="7">
        <f>'المدخلات'!$B$31</f>
        <v/>
      </c>
      <c r="D21" s="7">
        <f>'المدخلات'!$B$32</f>
        <v/>
      </c>
      <c r="E21" s="7">
        <f>'المدخلات'!$B$32</f>
        <v/>
      </c>
    </row>
    <row r="22">
      <c r="A22" s="5" t="inlineStr">
        <is>
          <t>رسوم Paymob</t>
        </is>
      </c>
      <c r="B22" s="23">
        <f>(B20*'المدخلات'!$B$8+'المدخلات'!$B$9)*(1+'المدخلات'!$B$10)</f>
        <v/>
      </c>
      <c r="C22" s="23">
        <f>(C20*'المدخلات'!$B$8+'المدخلات'!$B$9)*(1+'المدخلات'!$B$10)</f>
        <v/>
      </c>
      <c r="D22" s="23">
        <f>(D20*'المدخلات'!$B$8+'المدخلات'!$B$9)*(1+'المدخلات'!$B$10)</f>
        <v/>
      </c>
      <c r="E22" s="23">
        <f>(E20*'المدخلات'!$B$8+'المدخلات'!$B$9)*(1+'المدخلات'!$B$10)</f>
        <v/>
      </c>
    </row>
    <row r="23">
      <c r="A23" s="5" t="inlineStr">
        <is>
          <t>تكلفة AI</t>
        </is>
      </c>
      <c r="B23" s="6">
        <f>'تكلفة AI'!$G$11</f>
        <v/>
      </c>
      <c r="C23" s="6">
        <f>'تكلفة AI'!$G$11</f>
        <v/>
      </c>
      <c r="D23" s="6">
        <f>'تكلفة AI'!$G$13</f>
        <v/>
      </c>
      <c r="E23" s="6">
        <f>'تكلفة AI'!$G$13</f>
        <v/>
      </c>
    </row>
    <row r="24">
      <c r="A24" s="5" t="inlineStr">
        <is>
          <t>نصيب البنية التحتية</t>
        </is>
      </c>
      <c r="B24" s="6">
        <f>'التكلفة الثابتة'!$B$40</f>
        <v/>
      </c>
      <c r="C24" s="6">
        <f>'التكلفة الثابتة'!$B$40</f>
        <v/>
      </c>
      <c r="D24" s="6">
        <f>'التكلفة الثابتة'!$B$40</f>
        <v/>
      </c>
      <c r="E24" s="6">
        <f>'التكلفة الثابتة'!$B$40</f>
        <v/>
      </c>
    </row>
    <row r="25">
      <c r="A25" s="5" t="inlineStr">
        <is>
          <t>تكلفة المزود</t>
        </is>
      </c>
      <c r="B25" s="23" t="n">
        <v>0</v>
      </c>
      <c r="C25" s="23">
        <f>C21*'المدخلات'!$B$33</f>
        <v/>
      </c>
      <c r="D25" s="23" t="n">
        <v>0</v>
      </c>
      <c r="E25" s="23">
        <f>E21*'المدخلات'!$B$33</f>
        <v/>
      </c>
    </row>
    <row r="26">
      <c r="A26" s="5" t="inlineStr">
        <is>
          <t>قراءة الموقع + التحقق</t>
        </is>
      </c>
      <c r="B26" s="23">
        <f>B21*('المدخلات'!$B$34+'المدخلات'!$B$35)</f>
        <v/>
      </c>
      <c r="C26" s="23">
        <f>C21*('المدخلات'!$B$34+'المدخلات'!$B$35)</f>
        <v/>
      </c>
      <c r="D26" s="23">
        <f>D21*('المدخلات'!$B$34+'المدخلات'!$B$35)</f>
        <v/>
      </c>
      <c r="E26" s="23">
        <f>E21*('المدخلات'!$B$34+'المدخلات'!$B$35)</f>
        <v/>
      </c>
    </row>
    <row r="27">
      <c r="A27" s="5" t="inlineStr">
        <is>
          <t>صنّاع القرار</t>
        </is>
      </c>
      <c r="B27" s="23">
        <f>'المدخلات'!$B$37*'المدخلات'!$B$36</f>
        <v/>
      </c>
      <c r="C27" s="23">
        <f>'المدخلات'!$B$37*'المدخلات'!$B$36</f>
        <v/>
      </c>
      <c r="D27" s="23">
        <f>'المدخلات'!$B$38*'المدخلات'!$B$36</f>
        <v/>
      </c>
      <c r="E27" s="23">
        <f>'المدخلات'!$B$38*'المدخلات'!$B$36</f>
        <v/>
      </c>
    </row>
    <row r="28">
      <c r="A28" s="8" t="inlineStr">
        <is>
          <t>إجمالي التكلفة</t>
        </is>
      </c>
      <c r="B28" s="25">
        <f>SUM(B22:B27)</f>
        <v/>
      </c>
      <c r="C28" s="25">
        <f>SUM(C22:C27)</f>
        <v/>
      </c>
      <c r="D28" s="25">
        <f>SUM(D22:D27)</f>
        <v/>
      </c>
      <c r="E28" s="25">
        <f>SUM(E22:E27)</f>
        <v/>
      </c>
    </row>
    <row r="29">
      <c r="A29" s="8" t="inlineStr">
        <is>
          <t>إجمالي الربح</t>
        </is>
      </c>
      <c r="B29" s="24">
        <f>B20-B28</f>
        <v/>
      </c>
      <c r="C29" s="24">
        <f>C20-C28</f>
        <v/>
      </c>
      <c r="D29" s="24">
        <f>D20-D28</f>
        <v/>
      </c>
      <c r="E29" s="24">
        <f>E20-E28</f>
        <v/>
      </c>
    </row>
    <row r="30">
      <c r="A30" s="8" t="inlineStr">
        <is>
          <t>هامش الربح</t>
        </is>
      </c>
      <c r="B30" s="26">
        <f>IF(B20=0,0,B29/B20)</f>
        <v/>
      </c>
      <c r="C30" s="26">
        <f>IF(C20=0,0,C29/C20)</f>
        <v/>
      </c>
      <c r="D30" s="26">
        <f>IF(D20=0,0,D29/D20)</f>
        <v/>
      </c>
      <c r="E30" s="26">
        <f>IF(E20=0,0,E29/E20)</f>
        <v/>
      </c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8" t="inlineStr">
        <is>
          <t>3) أسوأ حالة: أقصى استخدام + أسعار Gemini بتاعة 2027</t>
        </is>
      </c>
      <c r="B33" s="2" t="n"/>
      <c r="C33" s="2" t="n"/>
      <c r="D33" s="2" t="n"/>
      <c r="E33" s="2" t="n"/>
    </row>
    <row r="34">
      <c r="A34" s="4" t="inlineStr"/>
      <c r="B34" s="4" t="inlineStr">
        <is>
          <t>Pro — قبل المزود</t>
        </is>
      </c>
      <c r="C34" s="4" t="inlineStr">
        <is>
          <t>Pro — مع المزود</t>
        </is>
      </c>
      <c r="D34" s="4" t="inlineStr">
        <is>
          <t>Growth — قبل المزود</t>
        </is>
      </c>
      <c r="E34" s="4" t="inlineStr">
        <is>
          <t>Growth — مع المزود</t>
        </is>
      </c>
    </row>
    <row r="35">
      <c r="A35" s="5" t="inlineStr">
        <is>
          <t>الإيراد</t>
        </is>
      </c>
      <c r="B35" s="6">
        <f>'المدخلات'!$B$5</f>
        <v/>
      </c>
      <c r="C35" s="6">
        <f>'المدخلات'!$B$5</f>
        <v/>
      </c>
      <c r="D35" s="6">
        <f>'المدخلات'!$B$6</f>
        <v/>
      </c>
      <c r="E35" s="6">
        <f>'المدخلات'!$B$6</f>
        <v/>
      </c>
    </row>
    <row r="36">
      <c r="A36" s="5" t="inlineStr">
        <is>
          <t>عدد العملاء المحتملين</t>
        </is>
      </c>
      <c r="B36" s="7">
        <f>'المدخلات'!$B$31</f>
        <v/>
      </c>
      <c r="C36" s="7">
        <f>'المدخلات'!$B$31</f>
        <v/>
      </c>
      <c r="D36" s="7">
        <f>'المدخلات'!$B$32</f>
        <v/>
      </c>
      <c r="E36" s="7">
        <f>'المدخلات'!$B$32</f>
        <v/>
      </c>
    </row>
    <row r="37">
      <c r="A37" s="5" t="inlineStr">
        <is>
          <t>رسوم Paymob</t>
        </is>
      </c>
      <c r="B37" s="23">
        <f>(B35*'المدخلات'!$B$8+'المدخلات'!$B$9)*(1+'المدخلات'!$B$10)</f>
        <v/>
      </c>
      <c r="C37" s="23">
        <f>(C35*'المدخلات'!$B$8+'المدخلات'!$B$9)*(1+'المدخلات'!$B$10)</f>
        <v/>
      </c>
      <c r="D37" s="23">
        <f>(D35*'المدخلات'!$B$8+'المدخلات'!$B$9)*(1+'المدخلات'!$B$10)</f>
        <v/>
      </c>
      <c r="E37" s="23">
        <f>(E35*'المدخلات'!$B$8+'المدخلات'!$B$9)*(1+'المدخلات'!$B$10)</f>
        <v/>
      </c>
    </row>
    <row r="38">
      <c r="A38" s="5" t="inlineStr">
        <is>
          <t>تكلفة AI</t>
        </is>
      </c>
      <c r="B38" s="6">
        <f>'تكلفة AI'!$F$11</f>
        <v/>
      </c>
      <c r="C38" s="6">
        <f>'تكلفة AI'!$F$11</f>
        <v/>
      </c>
      <c r="D38" s="6">
        <f>'تكلفة AI'!$F$13</f>
        <v/>
      </c>
      <c r="E38" s="6">
        <f>'تكلفة AI'!$F$13</f>
        <v/>
      </c>
    </row>
    <row r="39">
      <c r="A39" s="5" t="inlineStr">
        <is>
          <t>نصيب البنية التحتية</t>
        </is>
      </c>
      <c r="B39" s="6">
        <f>'التكلفة الثابتة'!$B$40</f>
        <v/>
      </c>
      <c r="C39" s="6">
        <f>'التكلفة الثابتة'!$B$40</f>
        <v/>
      </c>
      <c r="D39" s="6">
        <f>'التكلفة الثابتة'!$B$40</f>
        <v/>
      </c>
      <c r="E39" s="6">
        <f>'التكلفة الثابتة'!$B$40</f>
        <v/>
      </c>
    </row>
    <row r="40">
      <c r="A40" s="5" t="inlineStr">
        <is>
          <t>تكلفة المزود</t>
        </is>
      </c>
      <c r="B40" s="23" t="n">
        <v>0</v>
      </c>
      <c r="C40" s="23">
        <f>C36*'المدخلات'!$B$33</f>
        <v/>
      </c>
      <c r="D40" s="23" t="n">
        <v>0</v>
      </c>
      <c r="E40" s="23">
        <f>E36*'المدخلات'!$B$33</f>
        <v/>
      </c>
    </row>
    <row r="41">
      <c r="A41" s="5" t="inlineStr">
        <is>
          <t>قراءة الموقع + التحقق</t>
        </is>
      </c>
      <c r="B41" s="23">
        <f>B36*('المدخلات'!$B$34+'المدخلات'!$B$35)</f>
        <v/>
      </c>
      <c r="C41" s="23">
        <f>C36*('المدخلات'!$B$34+'المدخلات'!$B$35)</f>
        <v/>
      </c>
      <c r="D41" s="23">
        <f>D36*('المدخلات'!$B$34+'المدخلات'!$B$35)</f>
        <v/>
      </c>
      <c r="E41" s="23">
        <f>E36*('المدخلات'!$B$34+'المدخلات'!$B$35)</f>
        <v/>
      </c>
    </row>
    <row r="42">
      <c r="A42" s="5" t="inlineStr">
        <is>
          <t>صنّاع القرار</t>
        </is>
      </c>
      <c r="B42" s="23">
        <f>'المدخلات'!$B$37*'المدخلات'!$B$36</f>
        <v/>
      </c>
      <c r="C42" s="23">
        <f>'المدخلات'!$B$37*'المدخلات'!$B$36</f>
        <v/>
      </c>
      <c r="D42" s="23">
        <f>'المدخلات'!$B$38*'المدخلات'!$B$36</f>
        <v/>
      </c>
      <c r="E42" s="23">
        <f>'المدخلات'!$B$38*'المدخلات'!$B$36</f>
        <v/>
      </c>
    </row>
    <row r="43">
      <c r="A43" s="8" t="inlineStr">
        <is>
          <t>إجمالي التكلفة</t>
        </is>
      </c>
      <c r="B43" s="25">
        <f>SUM(B37:B42)</f>
        <v/>
      </c>
      <c r="C43" s="25">
        <f>SUM(C37:C42)</f>
        <v/>
      </c>
      <c r="D43" s="25">
        <f>SUM(D37:D42)</f>
        <v/>
      </c>
      <c r="E43" s="25">
        <f>SUM(E37:E42)</f>
        <v/>
      </c>
    </row>
    <row r="44">
      <c r="A44" s="8" t="inlineStr">
        <is>
          <t>إجمالي الربح</t>
        </is>
      </c>
      <c r="B44" s="24">
        <f>B35-B43</f>
        <v/>
      </c>
      <c r="C44" s="24">
        <f>C35-C43</f>
        <v/>
      </c>
      <c r="D44" s="24">
        <f>D35-D43</f>
        <v/>
      </c>
      <c r="E44" s="24">
        <f>E35-E43</f>
        <v/>
      </c>
    </row>
    <row r="45">
      <c r="A45" s="8" t="inlineStr">
        <is>
          <t>هامش الربح</t>
        </is>
      </c>
      <c r="B45" s="26">
        <f>IF(B35=0,0,B44/B35)</f>
        <v/>
      </c>
      <c r="C45" s="26">
        <f>IF(C35=0,0,C44/C35)</f>
        <v/>
      </c>
      <c r="D45" s="26">
        <f>IF(D35=0,0,D44/D35)</f>
        <v/>
      </c>
      <c r="E45" s="26">
        <f>IF(E35=0,0,E44/E35)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العميل المحتمل الواحد: بتبيعه بكام وبيكلفك كام (استخدام عادي)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/>
      <c r="B3" s="4" t="inlineStr">
        <is>
          <t>Pro — قبل المزود</t>
        </is>
      </c>
      <c r="C3" s="4" t="inlineStr">
        <is>
          <t>Pro — مع المزود</t>
        </is>
      </c>
      <c r="D3" s="4" t="inlineStr">
        <is>
          <t>Growth — قبل المزود</t>
        </is>
      </c>
      <c r="E3" s="4" t="inlineStr">
        <is>
          <t>Growth — مع المزود</t>
        </is>
      </c>
    </row>
    <row r="4">
      <c r="A4" s="8" t="inlineStr">
        <is>
          <t>سعر بيع الـ Prospect</t>
        </is>
      </c>
      <c r="B4" s="27">
        <f>IF('اقتصاديات الباقة'!B6=0,0,'اقتصاديات الباقة'!B5/'اقتصاديات الباقة'!B6)</f>
        <v/>
      </c>
      <c r="C4" s="27">
        <f>IF('اقتصاديات الباقة'!C6=0,0,'اقتصاديات الباقة'!C5/'اقتصاديات الباقة'!C6)</f>
        <v/>
      </c>
      <c r="D4" s="27">
        <f>IF('اقتصاديات الباقة'!D6=0,0,'اقتصاديات الباقة'!D5/'اقتصاديات الباقة'!D6)</f>
        <v/>
      </c>
      <c r="E4" s="27">
        <f>IF('اقتصاديات الباقة'!E6=0,0,'اقتصاديات الباقة'!E5/'اقتصاديات الباقة'!E6)</f>
        <v/>
      </c>
    </row>
    <row r="5">
      <c r="A5" s="5" t="inlineStr">
        <is>
          <t>رسوم Paymob</t>
        </is>
      </c>
      <c r="B5" s="21">
        <f>IF('اقتصاديات الباقة'!B6=0,0,'اقتصاديات الباقة'!B7/'اقتصاديات الباقة'!B6)</f>
        <v/>
      </c>
      <c r="C5" s="21">
        <f>IF('اقتصاديات الباقة'!C6=0,0,'اقتصاديات الباقة'!C7/'اقتصاديات الباقة'!C6)</f>
        <v/>
      </c>
      <c r="D5" s="21">
        <f>IF('اقتصاديات الباقة'!D6=0,0,'اقتصاديات الباقة'!D7/'اقتصاديات الباقة'!D6)</f>
        <v/>
      </c>
      <c r="E5" s="21">
        <f>IF('اقتصاديات الباقة'!E6=0,0,'اقتصاديات الباقة'!E7/'اقتصاديات الباقة'!E6)</f>
        <v/>
      </c>
    </row>
    <row r="6">
      <c r="A6" s="5" t="inlineStr">
        <is>
          <t>AI</t>
        </is>
      </c>
      <c r="B6" s="21">
        <f>IF('اقتصاديات الباقة'!B6=0,0,'اقتصاديات الباقة'!B8/'اقتصاديات الباقة'!B6)</f>
        <v/>
      </c>
      <c r="C6" s="21">
        <f>IF('اقتصاديات الباقة'!C6=0,0,'اقتصاديات الباقة'!C8/'اقتصاديات الباقة'!C6)</f>
        <v/>
      </c>
      <c r="D6" s="21">
        <f>IF('اقتصاديات الباقة'!D6=0,0,'اقتصاديات الباقة'!D8/'اقتصاديات الباقة'!D6)</f>
        <v/>
      </c>
      <c r="E6" s="21">
        <f>IF('اقتصاديات الباقة'!E6=0,0,'اقتصاديات الباقة'!E8/'اقتصاديات الباقة'!E6)</f>
        <v/>
      </c>
    </row>
    <row r="7">
      <c r="A7" s="5" t="inlineStr">
        <is>
          <t>البنية التحتية</t>
        </is>
      </c>
      <c r="B7" s="21">
        <f>IF('اقتصاديات الباقة'!B6=0,0,'اقتصاديات الباقة'!B9/'اقتصاديات الباقة'!B6)</f>
        <v/>
      </c>
      <c r="C7" s="21">
        <f>IF('اقتصاديات الباقة'!C6=0,0,'اقتصاديات الباقة'!C9/'اقتصاديات الباقة'!C6)</f>
        <v/>
      </c>
      <c r="D7" s="21">
        <f>IF('اقتصاديات الباقة'!D6=0,0,'اقتصاديات الباقة'!D9/'اقتصاديات الباقة'!D6)</f>
        <v/>
      </c>
      <c r="E7" s="21">
        <f>IF('اقتصاديات الباقة'!E6=0,0,'اقتصاديات الباقة'!E9/'اقتصاديات الباقة'!E6)</f>
        <v/>
      </c>
    </row>
    <row r="8">
      <c r="A8" s="5" t="inlineStr">
        <is>
          <t>المزود</t>
        </is>
      </c>
      <c r="B8" s="21">
        <f>IF('اقتصاديات الباقة'!B6=0,0,'اقتصاديات الباقة'!B10/'اقتصاديات الباقة'!B6)</f>
        <v/>
      </c>
      <c r="C8" s="21">
        <f>IF('اقتصاديات الباقة'!C6=0,0,'اقتصاديات الباقة'!C10/'اقتصاديات الباقة'!C6)</f>
        <v/>
      </c>
      <c r="D8" s="21">
        <f>IF('اقتصاديات الباقة'!D6=0,0,'اقتصاديات الباقة'!D10/'اقتصاديات الباقة'!D6)</f>
        <v/>
      </c>
      <c r="E8" s="21">
        <f>IF('اقتصاديات الباقة'!E6=0,0,'اقتصاديات الباقة'!E10/'اقتصاديات الباقة'!E6)</f>
        <v/>
      </c>
    </row>
    <row r="9">
      <c r="A9" s="5" t="inlineStr">
        <is>
          <t>قراءة الموقع + التحقق + صنّاع القرار</t>
        </is>
      </c>
      <c r="B9" s="21">
        <f>IF('اقتصاديات الباقة'!B6=0,0,('اقتصاديات الباقة'!B11+'اقتصاديات الباقة'!B12)/'اقتصاديات الباقة'!B6)</f>
        <v/>
      </c>
      <c r="C9" s="21">
        <f>IF('اقتصاديات الباقة'!C6=0,0,('اقتصاديات الباقة'!C11+'اقتصاديات الباقة'!C12)/'اقتصاديات الباقة'!C6)</f>
        <v/>
      </c>
      <c r="D9" s="21">
        <f>IF('اقتصاديات الباقة'!D6=0,0,('اقتصاديات الباقة'!D11+'اقتصاديات الباقة'!D12)/'اقتصاديات الباقة'!D6)</f>
        <v/>
      </c>
      <c r="E9" s="21">
        <f>IF('اقتصاديات الباقة'!E6=0,0,('اقتصاديات الباقة'!E11+'اقتصاديات الباقة'!E12)/'اقتصاديات الباقة'!E6)</f>
        <v/>
      </c>
    </row>
    <row r="10">
      <c r="A10" s="8" t="inlineStr">
        <is>
          <t>تكلفة الـ Prospect الكاملة</t>
        </is>
      </c>
      <c r="B10" s="27">
        <f>SUM(B5:B9)</f>
        <v/>
      </c>
      <c r="C10" s="27">
        <f>SUM(C5:C9)</f>
        <v/>
      </c>
      <c r="D10" s="27">
        <f>SUM(D5:D9)</f>
        <v/>
      </c>
      <c r="E10" s="27">
        <f>SUM(E5:E9)</f>
        <v/>
      </c>
    </row>
    <row r="11">
      <c r="A11" s="8" t="inlineStr">
        <is>
          <t>ربحك في الـ Prospect</t>
        </is>
      </c>
      <c r="B11" s="27">
        <f>B4-B10</f>
        <v/>
      </c>
      <c r="C11" s="27">
        <f>C4-C10</f>
        <v/>
      </c>
      <c r="D11" s="27">
        <f>D4-D10</f>
        <v/>
      </c>
      <c r="E11" s="27">
        <f>E4-E10</f>
        <v/>
      </c>
    </row>
    <row r="12">
      <c r="A12" s="8" t="inlineStr">
        <is>
          <t>الهامش</t>
        </is>
      </c>
      <c r="B12" s="26">
        <f>IF(B4=0,0,B11/B4)</f>
        <v/>
      </c>
      <c r="C12" s="26">
        <f>IF(C4=0,0,C11/C4)</f>
        <v/>
      </c>
      <c r="D12" s="26">
        <f>IF(D4=0,0,D11/D4)</f>
        <v/>
      </c>
      <c r="E12" s="26">
        <f>IF(E4=0,0,E11/E4)</f>
        <v/>
      </c>
    </row>
    <row r="13">
      <c r="A13" s="2" t="n"/>
      <c r="B13" s="2" t="n"/>
      <c r="C13" s="2" t="n"/>
      <c r="D13" s="2" t="n"/>
      <c r="E13" s="2" t="n"/>
    </row>
    <row r="14">
      <c r="A14" s="3" t="inlineStr">
        <is>
          <t>«قبل المزود» = تكاليف التشغيل بس متوزعة على العملاء المحتملين. ملحوظة مهمة: من غير مزود مفيش عملاء محتملين بيتجمعوا أصلاً، فالعمود ده بيوضّح هيكل التكلفة، مش إيراد ممكن تحققه النهارده.</t>
        </is>
      </c>
      <c r="B14" s="2" t="n"/>
      <c r="C14" s="2" t="n"/>
      <c r="D14" s="2" t="n"/>
      <c r="E1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قد إيه نقدر نصرف على البيانات عند كل هامش (استخدام عادي)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8" t="inlineStr">
        <is>
          <t>Pro</t>
        </is>
      </c>
      <c r="B3" s="2" t="n"/>
      <c r="C3" s="2" t="n"/>
      <c r="D3" s="2" t="n"/>
      <c r="E3" s="2" t="n"/>
      <c r="F3" s="2" t="n"/>
    </row>
    <row r="4">
      <c r="A4" s="4" t="inlineStr">
        <is>
          <t>الهامش المستهدف</t>
        </is>
      </c>
      <c r="B4" s="4" t="inlineStr">
        <is>
          <t>أقصى تكلفة كلية</t>
        </is>
      </c>
      <c r="C4" s="4" t="inlineStr">
        <is>
          <t>تكلفة غير البيانات</t>
        </is>
      </c>
      <c r="D4" s="4" t="inlineStr">
        <is>
          <t>ميزانية البيانات للعميل</t>
        </is>
      </c>
      <c r="E4" s="4" t="inlineStr">
        <is>
          <t>أقصى سعر للـ Prospect (بعدد الباقة)</t>
        </is>
      </c>
      <c r="F4" s="4" t="inlineStr">
        <is>
          <t>أقصى عدد Prospects (بسعر المزود في المدخلات)</t>
        </is>
      </c>
    </row>
    <row r="5">
      <c r="A5" s="14" t="n">
        <v>0.6</v>
      </c>
      <c r="B5" s="23">
        <f>'اقتصاديات الباقة'!B5*(1-A5)</f>
        <v/>
      </c>
      <c r="C5" s="23">
        <f>('اقتصاديات الباقة'!B7+'اقتصاديات الباقة'!B8+'اقتصاديات الباقة'!B9+'اقتصاديات الباقة'!B11+'اقتصاديات الباقة'!B12)</f>
        <v/>
      </c>
      <c r="D5" s="25">
        <f>MAX(0,B5-C5)</f>
        <v/>
      </c>
      <c r="E5" s="21">
        <f>IF('اقتصاديات الباقة'!B6=0,0,D5/'اقتصاديات الباقة'!B6)</f>
        <v/>
      </c>
      <c r="F5" s="22">
        <f>IF('المدخلات'!$B$33=0,"مش محدود بتكلفة البيانات",ROUNDDOWN(D5/'المدخلات'!$B$33,0))</f>
        <v/>
      </c>
    </row>
    <row r="6">
      <c r="A6" s="14" t="n">
        <v>0.7</v>
      </c>
      <c r="B6" s="23">
        <f>'اقتصاديات الباقة'!B5*(1-A6)</f>
        <v/>
      </c>
      <c r="C6" s="23">
        <f>('اقتصاديات الباقة'!B7+'اقتصاديات الباقة'!B8+'اقتصاديات الباقة'!B9+'اقتصاديات الباقة'!B11+'اقتصاديات الباقة'!B12)</f>
        <v/>
      </c>
      <c r="D6" s="25">
        <f>MAX(0,B6-C6)</f>
        <v/>
      </c>
      <c r="E6" s="21">
        <f>IF('اقتصاديات الباقة'!B6=0,0,D6/'اقتصاديات الباقة'!B6)</f>
        <v/>
      </c>
      <c r="F6" s="22">
        <f>IF('المدخلات'!$B$33=0,"مش محدود بتكلفة البيانات",ROUNDDOWN(D6/'المدخلات'!$B$33,0))</f>
        <v/>
      </c>
    </row>
    <row r="7">
      <c r="A7" s="14" t="n">
        <v>0.8</v>
      </c>
      <c r="B7" s="23">
        <f>'اقتصاديات الباقة'!B5*(1-A7)</f>
        <v/>
      </c>
      <c r="C7" s="23">
        <f>('اقتصاديات الباقة'!B7+'اقتصاديات الباقة'!B8+'اقتصاديات الباقة'!B9+'اقتصاديات الباقة'!B11+'اقتصاديات الباقة'!B12)</f>
        <v/>
      </c>
      <c r="D7" s="25">
        <f>MAX(0,B7-C7)</f>
        <v/>
      </c>
      <c r="E7" s="21">
        <f>IF('اقتصاديات الباقة'!B6=0,0,D7/'اقتصاديات الباقة'!B6)</f>
        <v/>
      </c>
      <c r="F7" s="22">
        <f>IF('المدخلات'!$B$33=0,"مش محدود بتكلفة البيانات",ROUNDDOWN(D7/'المدخلات'!$B$33,0))</f>
        <v/>
      </c>
    </row>
    <row r="8">
      <c r="A8" s="14" t="n">
        <v>0.9</v>
      </c>
      <c r="B8" s="23">
        <f>'اقتصاديات الباقة'!B5*(1-A8)</f>
        <v/>
      </c>
      <c r="C8" s="23">
        <f>('اقتصاديات الباقة'!B7+'اقتصاديات الباقة'!B8+'اقتصاديات الباقة'!B9+'اقتصاديات الباقة'!B11+'اقتصاديات الباقة'!B12)</f>
        <v/>
      </c>
      <c r="D8" s="25">
        <f>MAX(0,B8-C8)</f>
        <v/>
      </c>
      <c r="E8" s="21">
        <f>IF('اقتصاديات الباقة'!B6=0,0,D8/'اقتصاديات الباقة'!B6)</f>
        <v/>
      </c>
      <c r="F8" s="22">
        <f>IF('المدخلات'!$B$33=0,"مش محدود بتكلفة البيانات",ROUNDDOWN(D8/'المدخلات'!$B$33,0))</f>
        <v/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8" t="inlineStr">
        <is>
          <t>Growth</t>
        </is>
      </c>
      <c r="B11" s="2" t="n"/>
      <c r="C11" s="2" t="n"/>
      <c r="D11" s="2" t="n"/>
      <c r="E11" s="2" t="n"/>
      <c r="F11" s="2" t="n"/>
    </row>
    <row r="12">
      <c r="A12" s="4" t="inlineStr">
        <is>
          <t>الهامش المستهدف</t>
        </is>
      </c>
      <c r="B12" s="4" t="inlineStr">
        <is>
          <t>أقصى تكلفة كلية</t>
        </is>
      </c>
      <c r="C12" s="4" t="inlineStr">
        <is>
          <t>تكلفة غير البيانات</t>
        </is>
      </c>
      <c r="D12" s="4" t="inlineStr">
        <is>
          <t>ميزانية البيانات للعميل</t>
        </is>
      </c>
      <c r="E12" s="4" t="inlineStr">
        <is>
          <t>أقصى سعر للـ Prospect (بعدد الباقة)</t>
        </is>
      </c>
      <c r="F12" s="4" t="inlineStr">
        <is>
          <t>أقصى عدد Prospects (بسعر المزود في المدخلات)</t>
        </is>
      </c>
    </row>
    <row r="13">
      <c r="A13" s="14" t="n">
        <v>0.6</v>
      </c>
      <c r="B13" s="23">
        <f>'اقتصاديات الباقة'!D5*(1-A13)</f>
        <v/>
      </c>
      <c r="C13" s="23">
        <f>('اقتصاديات الباقة'!D7+'اقتصاديات الباقة'!D8+'اقتصاديات الباقة'!D9+'اقتصاديات الباقة'!D11+'اقتصاديات الباقة'!D12)</f>
        <v/>
      </c>
      <c r="D13" s="25">
        <f>MAX(0,B13-C13)</f>
        <v/>
      </c>
      <c r="E13" s="21">
        <f>IF('اقتصاديات الباقة'!D6=0,0,D13/'اقتصاديات الباقة'!D6)</f>
        <v/>
      </c>
      <c r="F13" s="22">
        <f>IF('المدخلات'!$B$33=0,"مش محدود بتكلفة البيانات",ROUNDDOWN(D13/'المدخلات'!$B$33,0))</f>
        <v/>
      </c>
    </row>
    <row r="14">
      <c r="A14" s="14" t="n">
        <v>0.7</v>
      </c>
      <c r="B14" s="23">
        <f>'اقتصاديات الباقة'!D5*(1-A14)</f>
        <v/>
      </c>
      <c r="C14" s="23">
        <f>('اقتصاديات الباقة'!D7+'اقتصاديات الباقة'!D8+'اقتصاديات الباقة'!D9+'اقتصاديات الباقة'!D11+'اقتصاديات الباقة'!D12)</f>
        <v/>
      </c>
      <c r="D14" s="25">
        <f>MAX(0,B14-C14)</f>
        <v/>
      </c>
      <c r="E14" s="21">
        <f>IF('اقتصاديات الباقة'!D6=0,0,D14/'اقتصاديات الباقة'!D6)</f>
        <v/>
      </c>
      <c r="F14" s="22">
        <f>IF('المدخلات'!$B$33=0,"مش محدود بتكلفة البيانات",ROUNDDOWN(D14/'المدخلات'!$B$33,0))</f>
        <v/>
      </c>
    </row>
    <row r="15">
      <c r="A15" s="14" t="n">
        <v>0.8</v>
      </c>
      <c r="B15" s="23">
        <f>'اقتصاديات الباقة'!D5*(1-A15)</f>
        <v/>
      </c>
      <c r="C15" s="23">
        <f>('اقتصاديات الباقة'!D7+'اقتصاديات الباقة'!D8+'اقتصاديات الباقة'!D9+'اقتصاديات الباقة'!D11+'اقتصاديات الباقة'!D12)</f>
        <v/>
      </c>
      <c r="D15" s="25">
        <f>MAX(0,B15-C15)</f>
        <v/>
      </c>
      <c r="E15" s="21">
        <f>IF('اقتصاديات الباقة'!D6=0,0,D15/'اقتصاديات الباقة'!D6)</f>
        <v/>
      </c>
      <c r="F15" s="22">
        <f>IF('المدخلات'!$B$33=0,"مش محدود بتكلفة البيانات",ROUNDDOWN(D15/'المدخلات'!$B$33,0))</f>
        <v/>
      </c>
    </row>
    <row r="16">
      <c r="A16" s="14" t="n">
        <v>0.9</v>
      </c>
      <c r="B16" s="23">
        <f>'اقتصاديات الباقة'!D5*(1-A16)</f>
        <v/>
      </c>
      <c r="C16" s="23">
        <f>('اقتصاديات الباقة'!D7+'اقتصاديات الباقة'!D8+'اقتصاديات الباقة'!D9+'اقتصاديات الباقة'!D11+'اقتصاديات الباقة'!D12)</f>
        <v/>
      </c>
      <c r="D16" s="25">
        <f>MAX(0,B16-C16)</f>
        <v/>
      </c>
      <c r="E16" s="21">
        <f>IF('اقتصاديات الباقة'!D6=0,0,D16/'اقتصاديات الباقة'!D6)</f>
        <v/>
      </c>
      <c r="F16" s="22">
        <f>IF('المدخلات'!$B$33=0,"مش محدود بتكلفة البيانات",ROUNDDOWN(D16/'المدخلات'!$B$33,0))</f>
        <v/>
      </c>
    </row>
    <row r="17">
      <c r="A17" s="2" t="n"/>
      <c r="B17" s="2" t="n"/>
      <c r="C17" s="2" t="n"/>
      <c r="D17" s="2" t="n"/>
      <c r="E17" s="2" t="n"/>
      <c r="F17" s="2" t="n"/>
    </row>
    <row r="18">
      <c r="A18" s="3" t="inlineStr">
        <is>
          <t>طريقة القراءة: لو المزود هيكلّف أقل من العمود E، يبقى عدد العملاء المحتملين في الباقة محقق الهامش ده. العمود F بيقول أقصى عدد ينفع تديه بسعر المزود اللي في المدخلات.</t>
        </is>
      </c>
      <c r="B18" s="2" t="n"/>
      <c r="C18" s="2" t="n"/>
      <c r="D18" s="2" t="n"/>
      <c r="E18" s="2" t="n"/>
      <c r="F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2026-10-07T07:07:42Z</dcterms:created>
  <dcterms:modified xmlns:dcterms="http://purl.org/dc/terms/" xmlns:xsi="http://www.w3.org/2001/XMLSchema-instance" xsi:type="dcterms:W3CDTF">2026-10-07T07:07:42Z</dcterms:modified>
</cp:coreProperties>
</file>